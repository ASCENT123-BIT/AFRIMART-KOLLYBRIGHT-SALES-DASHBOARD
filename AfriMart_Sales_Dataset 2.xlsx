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B5D043CDED85350B/Documents/"/>
    </mc:Choice>
  </mc:AlternateContent>
  <xr:revisionPtr revIDLastSave="1240" documentId="13_ncr:1_{81EF4161-AC51-410F-A5C2-967EE8D9EBE7}" xr6:coauthVersionLast="47" xr6:coauthVersionMax="47" xr10:uidLastSave="{404F975A-5D3F-4414-9DE0-29A34ABD8301}"/>
  <bookViews>
    <workbookView xWindow="-120" yWindow="-120" windowWidth="20730" windowHeight="11040" activeTab="3" xr2:uid="{00000000-000D-0000-FFFF-FFFF00000000}"/>
  </bookViews>
  <sheets>
    <sheet name="Pivot Tables" sheetId="6" r:id="rId1"/>
    <sheet name="Data" sheetId="1" r:id="rId2"/>
    <sheet name="New Data" sheetId="2" r:id="rId3"/>
    <sheet name="Dashboard" sheetId="7" r:id="rId4"/>
  </sheets>
  <definedNames>
    <definedName name="_xlcn.WorksheetConnection_AfriMart_Sales_Dataset2.xlsxTable11" hidden="1">Table1[]</definedName>
    <definedName name="Slicer_Country">#N/A</definedName>
    <definedName name="Slicer_Date__Year">#N/A</definedName>
    <definedName name="Slicer_Product">#N/A</definedName>
  </definedNames>
  <calcPr calcId="191028"/>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AfriMart_Sales_Dataset 2.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EDF9F9A-6C8E-436A-94E8-B898AB3EAC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76087785-9197-4D0A-AAA8-9DC4E20B9F69}" name="WorksheetConnection_AfriMart_Sales_Dataset 2.xlsx!Table1" type="102" refreshedVersion="8" minRefreshableVersion="5">
    <extLst>
      <ext xmlns:x15="http://schemas.microsoft.com/office/spreadsheetml/2010/11/main" uri="{DE250136-89BD-433C-8126-D09CA5730AF9}">
        <x15:connection id="Table1" autoDelete="1">
          <x15:rangePr sourceName="_xlcn.WorksheetConnection_AfriMart_Sales_Dataset2.xlsxTable11"/>
        </x15:connection>
      </ext>
    </extLst>
  </connection>
</connections>
</file>

<file path=xl/sharedStrings.xml><?xml version="1.0" encoding="utf-8"?>
<sst xmlns="http://schemas.openxmlformats.org/spreadsheetml/2006/main" count="2532" uniqueCount="34">
  <si>
    <t>Country</t>
  </si>
  <si>
    <t>Product</t>
  </si>
  <si>
    <t>Units Sold</t>
  </si>
  <si>
    <t>Revenue</t>
  </si>
  <si>
    <t>Cost</t>
  </si>
  <si>
    <t>Profit</t>
  </si>
  <si>
    <t>Date</t>
  </si>
  <si>
    <t>Côte d’Ivoire</t>
  </si>
  <si>
    <t>Mobile Data Bundle</t>
  </si>
  <si>
    <t>South Africa</t>
  </si>
  <si>
    <t>Detergent (1kg)</t>
  </si>
  <si>
    <t>Uganda</t>
  </si>
  <si>
    <t>Bread (Family Loaf)</t>
  </si>
  <si>
    <t>Egypt</t>
  </si>
  <si>
    <t>Garri (Cassava Flour)</t>
  </si>
  <si>
    <t>Rwanda</t>
  </si>
  <si>
    <t>Kenya</t>
  </si>
  <si>
    <t>Palm Oil (5L)</t>
  </si>
  <si>
    <t>Senegal</t>
  </si>
  <si>
    <t>Rice (50kg Bag)</t>
  </si>
  <si>
    <t>Ghana</t>
  </si>
  <si>
    <t>Nigeria</t>
  </si>
  <si>
    <t>Tanzania</t>
  </si>
  <si>
    <t>Cement (50kg)</t>
  </si>
  <si>
    <t>Row Labels</t>
  </si>
  <si>
    <t>Grand Total</t>
  </si>
  <si>
    <t>Sum of Units Sold</t>
  </si>
  <si>
    <t>Sum of Revenue</t>
  </si>
  <si>
    <t>Sum of Profit</t>
  </si>
  <si>
    <t>2024</t>
  </si>
  <si>
    <t>2025</t>
  </si>
  <si>
    <t>2026</t>
  </si>
  <si>
    <t>Profit Margin</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</si>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</sst>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00"/>
    <numFmt numFmtId="165" formatCode="0%;\-0%;0%"/>
  </numFmts>
  <fonts count="4" x14ac:knownFonts="1">
    <font>
      <sz val="11"/>
      <color theme="1"/>
      <name val="Tw Cen MT"/>
      <family val="2"/>
      <scheme val="minor"/>
    </font>
    <font>
      <sz val="11"/>
      <name val="Calibri"/>
      <family val="2"/>
    </font>
    <font>
      <sz val="11"/>
      <color theme="1"/>
      <name val="Tw Cen MT"/>
      <family val="2"/>
      <scheme val="major"/>
    </font>
    <font>
      <sz val="11"/>
      <color theme="1"/>
      <name val="Tw Cen MT"/>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3" fillId="0" borderId="0" applyFont="0" applyFill="0" applyBorder="0" applyAlignment="0" applyProtection="0"/>
  </cellStyleXfs>
  <cellXfs count="11">
    <xf numFmtId="0" fontId="0" fillId="0" borderId="0" xfId="0"/>
    <xf numFmtId="14" fontId="0" fillId="0" borderId="0" xfId="0" applyNumberFormat="1"/>
    <xf numFmtId="0" fontId="1" fillId="0" borderId="0" xfId="0" applyFont="1" applyAlignment="1">
      <alignment horizontal="center" vertical="top"/>
    </xf>
    <xf numFmtId="14" fontId="1" fillId="0" borderId="0" xfId="0" applyNumberFormat="1" applyFont="1" applyAlignment="1">
      <alignment horizontal="center" vertical="top"/>
    </xf>
    <xf numFmtId="0" fontId="2" fillId="0" borderId="0" xfId="0" applyFont="1"/>
    <xf numFmtId="0" fontId="0" fillId="0" borderId="0" xfId="0" pivotButton="1"/>
    <xf numFmtId="0" fontId="0" fillId="0" borderId="0" xfId="0" applyAlignment="1">
      <alignment horizontal="left"/>
    </xf>
    <xf numFmtId="1" fontId="0" fillId="0" borderId="0" xfId="0" applyNumberFormat="1"/>
    <xf numFmtId="164" fontId="0" fillId="0" borderId="0" xfId="0" applyNumberFormat="1"/>
    <xf numFmtId="165" fontId="0" fillId="0" borderId="0" xfId="0" applyNumberFormat="1"/>
    <xf numFmtId="43" fontId="0" fillId="0" borderId="0" xfId="1" applyFont="1"/>
  </cellXfs>
  <cellStyles count="2">
    <cellStyle name="Comma" xfId="1" builtinId="3"/>
    <cellStyle name="Normal" xfId="0" builtinId="0"/>
  </cellStyles>
  <dxfs count="3">
    <dxf>
      <numFmt numFmtId="1" formatCode="0"/>
    </dxf>
    <dxf>
      <numFmt numFmtId="19" formatCode="m/d/yyyy"/>
    </dxf>
    <dxf>
      <numFmt numFmtId="164" formatCode="&quot;$&quot;#,##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r>
              <a:rPr lang="en-US">
                <a:latin typeface="+mj-lt"/>
              </a:rPr>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j-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masis MT Pro Medium" panose="020F0502020204030204" pitchFamily="18" charset="0"/>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masis MT Pro Medium" panose="020F0502020204030204" pitchFamily="18" charset="0"/>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manualLayout>
          <c:layoutTarget val="inner"/>
          <c:xMode val="edge"/>
          <c:yMode val="edge"/>
          <c:x val="2.7129451627911059E-2"/>
          <c:y val="0.2061715122148193"/>
          <c:w val="0.43515470213424484"/>
          <c:h val="0.5708482676224611"/>
        </c:manualLayout>
      </c:layout>
      <c:pieChart>
        <c:varyColors val="1"/>
        <c:ser>
          <c:idx val="0"/>
          <c:order val="0"/>
          <c:tx>
            <c:strRef>
              <c:f>'Pivot Tables'!$I$2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CA-4EAB-B9F3-43184B0C82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CA-4EAB-B9F3-43184B0C82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CA-4EAB-B9F3-43184B0C82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CA-4EAB-B9F3-43184B0C82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CA-4EAB-B9F3-43184B0C82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CA-4EAB-B9F3-43184B0C823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CA-4EAB-B9F3-43184B0C823D}"/>
              </c:ext>
            </c:extLst>
          </c:dPt>
          <c:cat>
            <c:strRef>
              <c:f>'Pivot Tables'!$H$3:$H$10</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Tables'!$I$3:$I$10</c:f>
              <c:numCache>
                <c:formatCode>General</c:formatCode>
                <c:ptCount val="7"/>
                <c:pt idx="0">
                  <c:v>155614800</c:v>
                </c:pt>
                <c:pt idx="1">
                  <c:v>699210000</c:v>
                </c:pt>
                <c:pt idx="2">
                  <c:v>547218000</c:v>
                </c:pt>
                <c:pt idx="3">
                  <c:v>186430800</c:v>
                </c:pt>
                <c:pt idx="4">
                  <c:v>446808000</c:v>
                </c:pt>
                <c:pt idx="5">
                  <c:v>2267595000</c:v>
                </c:pt>
                <c:pt idx="6">
                  <c:v>6144660000</c:v>
                </c:pt>
              </c:numCache>
            </c:numRef>
          </c:val>
          <c:extLst>
            <c:ext xmlns:c16="http://schemas.microsoft.com/office/drawing/2014/chart" uri="{C3380CC4-5D6E-409C-BE32-E72D297353CC}">
              <c16:uniqueId val="{0000000E-2DCA-4EAB-B9F3-43184B0C823D}"/>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44441225783231952"/>
          <c:y val="0.20221464854206653"/>
          <c:w val="0.53372940422580961"/>
          <c:h val="0.622787704421562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masis MT Pro Medium" panose="020F0502020204030204" pitchFamily="18" charset="0"/>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latin typeface="Amasis MT Pro Medium" panose="020F0502020204030204" pitchFamily="18" charset="0"/>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Margin by Country</a:t>
            </a:r>
            <a:endParaRPr lang="en-US"/>
          </a:p>
        </c:rich>
      </c:tx>
      <c:layout>
        <c:manualLayout>
          <c:xMode val="edge"/>
          <c:yMode val="edge"/>
          <c:x val="0.1487327575453051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'Pivot Tables'!$F$2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F3D-4635-9198-87DA5B5A0D93}"/>
              </c:ext>
            </c:extLst>
          </c:dPt>
          <c:dPt>
            <c:idx val="1"/>
            <c:bubble3D val="0"/>
            <c:spPr>
              <a:solidFill>
                <a:schemeClr val="accent2"/>
              </a:solidFill>
              <a:ln>
                <a:noFill/>
              </a:ln>
              <a:effectLst/>
            </c:spPr>
            <c:extLst>
              <c:ext xmlns:c16="http://schemas.microsoft.com/office/drawing/2014/chart" uri="{C3380CC4-5D6E-409C-BE32-E72D297353CC}">
                <c16:uniqueId val="{00000003-EF3D-4635-9198-87DA5B5A0D93}"/>
              </c:ext>
            </c:extLst>
          </c:dPt>
          <c:dPt>
            <c:idx val="2"/>
            <c:bubble3D val="0"/>
            <c:spPr>
              <a:solidFill>
                <a:schemeClr val="accent3"/>
              </a:solidFill>
              <a:ln>
                <a:noFill/>
              </a:ln>
              <a:effectLst/>
            </c:spPr>
            <c:extLst>
              <c:ext xmlns:c16="http://schemas.microsoft.com/office/drawing/2014/chart" uri="{C3380CC4-5D6E-409C-BE32-E72D297353CC}">
                <c16:uniqueId val="{00000005-EF3D-4635-9198-87DA5B5A0D93}"/>
              </c:ext>
            </c:extLst>
          </c:dPt>
          <c:dPt>
            <c:idx val="3"/>
            <c:bubble3D val="0"/>
            <c:spPr>
              <a:solidFill>
                <a:schemeClr val="accent4"/>
              </a:solidFill>
              <a:ln>
                <a:noFill/>
              </a:ln>
              <a:effectLst/>
            </c:spPr>
            <c:extLst>
              <c:ext xmlns:c16="http://schemas.microsoft.com/office/drawing/2014/chart" uri="{C3380CC4-5D6E-409C-BE32-E72D297353CC}">
                <c16:uniqueId val="{00000007-EF3D-4635-9198-87DA5B5A0D93}"/>
              </c:ext>
            </c:extLst>
          </c:dPt>
          <c:dPt>
            <c:idx val="4"/>
            <c:bubble3D val="0"/>
            <c:spPr>
              <a:solidFill>
                <a:schemeClr val="accent5"/>
              </a:solidFill>
              <a:ln>
                <a:noFill/>
              </a:ln>
              <a:effectLst/>
            </c:spPr>
            <c:extLst>
              <c:ext xmlns:c16="http://schemas.microsoft.com/office/drawing/2014/chart" uri="{C3380CC4-5D6E-409C-BE32-E72D297353CC}">
                <c16:uniqueId val="{00000009-EF3D-4635-9198-87DA5B5A0D93}"/>
              </c:ext>
            </c:extLst>
          </c:dPt>
          <c:dPt>
            <c:idx val="5"/>
            <c:bubble3D val="0"/>
            <c:spPr>
              <a:solidFill>
                <a:schemeClr val="accent6"/>
              </a:solidFill>
              <a:ln>
                <a:noFill/>
              </a:ln>
              <a:effectLst/>
            </c:spPr>
            <c:extLst>
              <c:ext xmlns:c16="http://schemas.microsoft.com/office/drawing/2014/chart" uri="{C3380CC4-5D6E-409C-BE32-E72D297353CC}">
                <c16:uniqueId val="{0000000B-EF3D-4635-9198-87DA5B5A0D93}"/>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EF3D-4635-9198-87DA5B5A0D93}"/>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EF3D-4635-9198-87DA5B5A0D93}"/>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EF3D-4635-9198-87DA5B5A0D93}"/>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EF3D-4635-9198-87DA5B5A0D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Tables'!$E$3:$E$13</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Tables'!$F$3:$F$13</c:f>
              <c:numCache>
                <c:formatCode>0%;\-0%;0%</c:formatCode>
                <c:ptCount val="10"/>
                <c:pt idx="0">
                  <c:v>0.20424701009553101</c:v>
                </c:pt>
                <c:pt idx="1">
                  <c:v>0.2081900656712225</c:v>
                </c:pt>
                <c:pt idx="2">
                  <c:v>0.20092144368509876</c:v>
                </c:pt>
                <c:pt idx="3">
                  <c:v>0.20097642210251151</c:v>
                </c:pt>
                <c:pt idx="4">
                  <c:v>0.18652358876469138</c:v>
                </c:pt>
                <c:pt idx="5">
                  <c:v>0.20712401394039462</c:v>
                </c:pt>
                <c:pt idx="6">
                  <c:v>0.22175173936478138</c:v>
                </c:pt>
                <c:pt idx="7">
                  <c:v>0.21179538235007567</c:v>
                </c:pt>
                <c:pt idx="8">
                  <c:v>0.18897947017518832</c:v>
                </c:pt>
                <c:pt idx="9">
                  <c:v>0.20001045716559768</c:v>
                </c:pt>
              </c:numCache>
            </c:numRef>
          </c:val>
          <c:extLst>
            <c:ext xmlns:c16="http://schemas.microsoft.com/office/drawing/2014/chart" uri="{C3380CC4-5D6E-409C-BE32-E72D297353CC}">
              <c16:uniqueId val="{00000000-0D34-492E-80F5-8605ACA78F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7033178190304477"/>
          <c:y val="0.21151775189777927"/>
          <c:w val="0.30014791145767555"/>
          <c:h val="0.778521696763952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Tables'!$F$16</c:f>
              <c:strCache>
                <c:ptCount val="1"/>
                <c:pt idx="0">
                  <c:v>Total</c:v>
                </c:pt>
              </c:strCache>
            </c:strRef>
          </c:tx>
          <c:spPr>
            <a:solidFill>
              <a:schemeClr val="accent1"/>
            </a:solidFill>
            <a:ln>
              <a:noFill/>
            </a:ln>
            <a:effectLst/>
          </c:spPr>
          <c:invertIfNegative val="0"/>
          <c:cat>
            <c:strRef>
              <c:f>'Pivot Tables'!$E$17:$E$24</c:f>
              <c:strCache>
                <c:ptCount val="7"/>
                <c:pt idx="0">
                  <c:v>Bread (Family Loaf)</c:v>
                </c:pt>
                <c:pt idx="1">
                  <c:v>Cement (50kg)</c:v>
                </c:pt>
                <c:pt idx="2">
                  <c:v>Detergent (1kg)</c:v>
                </c:pt>
                <c:pt idx="3">
                  <c:v>Garri (Cassava Flour)</c:v>
                </c:pt>
                <c:pt idx="4">
                  <c:v>Mobile Data Bundle</c:v>
                </c:pt>
                <c:pt idx="5">
                  <c:v>Palm Oil (5L)</c:v>
                </c:pt>
                <c:pt idx="6">
                  <c:v>Rice (50kg Bag)</c:v>
                </c:pt>
              </c:strCache>
            </c:strRef>
          </c:cat>
          <c:val>
            <c:numRef>
              <c:f>'Pivot Tables'!$F$17:$F$24</c:f>
              <c:numCache>
                <c:formatCode>General</c:formatCode>
                <c:ptCount val="7"/>
                <c:pt idx="0">
                  <c:v>45387650</c:v>
                </c:pt>
                <c:pt idx="1">
                  <c:v>111873600</c:v>
                </c:pt>
                <c:pt idx="2">
                  <c:v>140713200</c:v>
                </c:pt>
                <c:pt idx="3">
                  <c:v>62143600</c:v>
                </c:pt>
                <c:pt idx="4">
                  <c:v>178723200</c:v>
                </c:pt>
                <c:pt idx="5">
                  <c:v>604692000</c:v>
                </c:pt>
                <c:pt idx="6">
                  <c:v>955836000</c:v>
                </c:pt>
              </c:numCache>
            </c:numRef>
          </c:val>
          <c:extLst>
            <c:ext xmlns:c16="http://schemas.microsoft.com/office/drawing/2014/chart" uri="{C3380CC4-5D6E-409C-BE32-E72D297353CC}">
              <c16:uniqueId val="{00000000-44C4-4F7E-A2C5-0DF7499E2214}"/>
            </c:ext>
          </c:extLst>
        </c:ser>
        <c:dLbls>
          <c:showLegendKey val="0"/>
          <c:showVal val="0"/>
          <c:showCatName val="0"/>
          <c:showSerName val="0"/>
          <c:showPercent val="0"/>
          <c:showBubbleSize val="0"/>
        </c:dLbls>
        <c:gapWidth val="219"/>
        <c:overlap val="-27"/>
        <c:axId val="120216016"/>
        <c:axId val="134528016"/>
      </c:barChart>
      <c:catAx>
        <c:axId val="12021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34528016"/>
        <c:crosses val="autoZero"/>
        <c:auto val="1"/>
        <c:lblAlgn val="ctr"/>
        <c:lblOffset val="100"/>
        <c:noMultiLvlLbl val="0"/>
      </c:catAx>
      <c:valAx>
        <c:axId val="134528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20216016"/>
        <c:crosses val="autoZero"/>
        <c:crossBetween val="between"/>
      </c:valAx>
      <c:spPr>
        <a:solidFill>
          <a:schemeClr val="accent2">
            <a:lumMod val="40000"/>
            <a:lumOff val="6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&amp; Profit by 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8015873015873E-2"/>
          <c:y val="0.20594035915002154"/>
          <c:w val="0.75099206349206349"/>
          <c:h val="0.69989768228124027"/>
        </c:manualLayout>
      </c:layout>
      <c:barChart>
        <c:barDir val="col"/>
        <c:grouping val="clustered"/>
        <c:varyColors val="0"/>
        <c:ser>
          <c:idx val="0"/>
          <c:order val="0"/>
          <c:tx>
            <c:strRef>
              <c:f>'Pivot Tables'!$B$3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2024</c:v>
                </c:pt>
                <c:pt idx="1">
                  <c:v>2025</c:v>
                </c:pt>
                <c:pt idx="2">
                  <c:v>2026</c:v>
                </c:pt>
              </c:strCache>
            </c:strRef>
          </c:cat>
          <c:val>
            <c:numRef>
              <c:f>'Pivot Tables'!$B$4:$B$7</c:f>
              <c:numCache>
                <c:formatCode>General</c:formatCode>
                <c:ptCount val="3"/>
                <c:pt idx="0">
                  <c:v>3129927800</c:v>
                </c:pt>
                <c:pt idx="1">
                  <c:v>3847142200</c:v>
                </c:pt>
                <c:pt idx="2">
                  <c:v>3470466600</c:v>
                </c:pt>
              </c:numCache>
            </c:numRef>
          </c:val>
          <c:extLst>
            <c:ext xmlns:c16="http://schemas.microsoft.com/office/drawing/2014/chart" uri="{C3380CC4-5D6E-409C-BE32-E72D297353CC}">
              <c16:uniqueId val="{00000000-6CDF-42D4-862C-8A5594607CF2}"/>
            </c:ext>
          </c:extLst>
        </c:ser>
        <c:ser>
          <c:idx val="1"/>
          <c:order val="1"/>
          <c:tx>
            <c:strRef>
              <c:f>'Pivot Tables'!$C$3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Tables'!$A$4:$A$7</c:f>
              <c:strCache>
                <c:ptCount val="3"/>
                <c:pt idx="0">
                  <c:v>2024</c:v>
                </c:pt>
                <c:pt idx="1">
                  <c:v>2025</c:v>
                </c:pt>
                <c:pt idx="2">
                  <c:v>2026</c:v>
                </c:pt>
              </c:strCache>
            </c:strRef>
          </c:cat>
          <c:val>
            <c:numRef>
              <c:f>'Pivot Tables'!$C$4:$C$7</c:f>
              <c:numCache>
                <c:formatCode>General</c:formatCode>
                <c:ptCount val="3"/>
                <c:pt idx="0">
                  <c:v>628619850</c:v>
                </c:pt>
                <c:pt idx="1">
                  <c:v>762622950</c:v>
                </c:pt>
                <c:pt idx="2">
                  <c:v>708126450</c:v>
                </c:pt>
              </c:numCache>
            </c:numRef>
          </c:val>
          <c:extLst>
            <c:ext xmlns:c16="http://schemas.microsoft.com/office/drawing/2014/chart" uri="{C3380CC4-5D6E-409C-BE32-E72D297353CC}">
              <c16:uniqueId val="{00000001-6CDF-42D4-862C-8A5594607CF2}"/>
            </c:ext>
          </c:extLst>
        </c:ser>
        <c:dLbls>
          <c:dLblPos val="outEnd"/>
          <c:showLegendKey val="0"/>
          <c:showVal val="1"/>
          <c:showCatName val="0"/>
          <c:showSerName val="0"/>
          <c:showPercent val="0"/>
          <c:showBubbleSize val="0"/>
        </c:dLbls>
        <c:gapWidth val="219"/>
        <c:overlap val="-27"/>
        <c:axId val="420048384"/>
        <c:axId val="134564496"/>
      </c:barChart>
      <c:catAx>
        <c:axId val="420048384"/>
        <c:scaling>
          <c:orientation val="minMax"/>
        </c:scaling>
        <c:delete val="1"/>
        <c:axPos val="b"/>
        <c:numFmt formatCode="General" sourceLinked="1"/>
        <c:majorTickMark val="none"/>
        <c:minorTickMark val="none"/>
        <c:tickLblPos val="nextTo"/>
        <c:crossAx val="134564496"/>
        <c:crosses val="autoZero"/>
        <c:auto val="1"/>
        <c:lblAlgn val="ctr"/>
        <c:lblOffset val="100"/>
        <c:noMultiLvlLbl val="0"/>
      </c:catAx>
      <c:valAx>
        <c:axId val="134564496"/>
        <c:scaling>
          <c:orientation val="minMax"/>
        </c:scaling>
        <c:delete val="1"/>
        <c:axPos val="l"/>
        <c:numFmt formatCode="General" sourceLinked="1"/>
        <c:majorTickMark val="none"/>
        <c:minorTickMark val="none"/>
        <c:tickLblPos val="nextTo"/>
        <c:crossAx val="420048384"/>
        <c:crosses val="autoZero"/>
        <c:crossBetween val="between"/>
      </c:valAx>
      <c:spPr>
        <a:noFill/>
        <a:ln>
          <a:noFill/>
        </a:ln>
        <a:effectLst/>
      </c:spPr>
    </c:plotArea>
    <c:legend>
      <c:legendPos val="r"/>
      <c:layout>
        <c:manualLayout>
          <c:xMode val="edge"/>
          <c:yMode val="edge"/>
          <c:x val="0.69146825396825395"/>
          <c:y val="0.33851656607895758"/>
          <c:w val="0.27876984126984128"/>
          <c:h val="0.434745268423367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&amp; Profit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2.2684971070066059E-2"/>
          <c:y val="0.19889480880758167"/>
          <c:w val="0.77338446077139988"/>
          <c:h val="0.71105697423181236"/>
        </c:manualLayout>
      </c:layout>
      <c:barChart>
        <c:barDir val="col"/>
        <c:grouping val="clustered"/>
        <c:varyColors val="0"/>
        <c:ser>
          <c:idx val="0"/>
          <c:order val="0"/>
          <c:tx>
            <c:strRef>
              <c:f>'Pivot Tables'!$B$16</c:f>
              <c:strCache>
                <c:ptCount val="1"/>
                <c:pt idx="0">
                  <c:v>Sum of Revenue</c:v>
                </c:pt>
              </c:strCache>
            </c:strRef>
          </c:tx>
          <c:spPr>
            <a:solidFill>
              <a:schemeClr val="accent1"/>
            </a:solidFill>
            <a:ln>
              <a:noFill/>
            </a:ln>
            <a:effectLst/>
          </c:spPr>
          <c:invertIfNegative val="0"/>
          <c:cat>
            <c:strRef>
              <c:f>'Pivot Tables'!$A$17:$A$27</c:f>
              <c:strCache>
                <c:ptCount val="10"/>
                <c:pt idx="0">
                  <c:v>Uganda</c:v>
                </c:pt>
                <c:pt idx="1">
                  <c:v>Tanzania</c:v>
                </c:pt>
                <c:pt idx="2">
                  <c:v>South Africa</c:v>
                </c:pt>
                <c:pt idx="3">
                  <c:v>Senegal</c:v>
                </c:pt>
                <c:pt idx="4">
                  <c:v>Rwanda</c:v>
                </c:pt>
                <c:pt idx="5">
                  <c:v>Nigeria</c:v>
                </c:pt>
                <c:pt idx="6">
                  <c:v>Kenya</c:v>
                </c:pt>
                <c:pt idx="7">
                  <c:v>Ghana</c:v>
                </c:pt>
                <c:pt idx="8">
                  <c:v>Egypt</c:v>
                </c:pt>
                <c:pt idx="9">
                  <c:v>Côte d’Ivoire</c:v>
                </c:pt>
              </c:strCache>
            </c:strRef>
          </c:cat>
          <c:val>
            <c:numRef>
              <c:f>'Pivot Tables'!$B$17:$B$27</c:f>
              <c:numCache>
                <c:formatCode>General</c:formatCode>
                <c:ptCount val="10"/>
                <c:pt idx="0">
                  <c:v>885517200</c:v>
                </c:pt>
                <c:pt idx="1">
                  <c:v>1254735500</c:v>
                </c:pt>
                <c:pt idx="2">
                  <c:v>779041300</c:v>
                </c:pt>
                <c:pt idx="3">
                  <c:v>666608300</c:v>
                </c:pt>
                <c:pt idx="4">
                  <c:v>1090844300</c:v>
                </c:pt>
                <c:pt idx="5">
                  <c:v>1622388900</c:v>
                </c:pt>
                <c:pt idx="6">
                  <c:v>1144351400</c:v>
                </c:pt>
                <c:pt idx="7">
                  <c:v>970455400</c:v>
                </c:pt>
                <c:pt idx="8">
                  <c:v>871416700</c:v>
                </c:pt>
                <c:pt idx="9">
                  <c:v>1162177600</c:v>
                </c:pt>
              </c:numCache>
            </c:numRef>
          </c:val>
          <c:extLst>
            <c:ext xmlns:c16="http://schemas.microsoft.com/office/drawing/2014/chart" uri="{C3380CC4-5D6E-409C-BE32-E72D297353CC}">
              <c16:uniqueId val="{00000000-C605-4E18-AF4F-BF632BAE7DAB}"/>
            </c:ext>
          </c:extLst>
        </c:ser>
        <c:ser>
          <c:idx val="1"/>
          <c:order val="1"/>
          <c:tx>
            <c:strRef>
              <c:f>'Pivot Tables'!$C$16</c:f>
              <c:strCache>
                <c:ptCount val="1"/>
                <c:pt idx="0">
                  <c:v>Sum of Profit</c:v>
                </c:pt>
              </c:strCache>
            </c:strRef>
          </c:tx>
          <c:spPr>
            <a:solidFill>
              <a:schemeClr val="accent2"/>
            </a:solidFill>
            <a:ln>
              <a:noFill/>
            </a:ln>
            <a:effectLst/>
          </c:spPr>
          <c:invertIfNegative val="0"/>
          <c:cat>
            <c:strRef>
              <c:f>'Pivot Tables'!$A$17:$A$27</c:f>
              <c:strCache>
                <c:ptCount val="10"/>
                <c:pt idx="0">
                  <c:v>Uganda</c:v>
                </c:pt>
                <c:pt idx="1">
                  <c:v>Tanzania</c:v>
                </c:pt>
                <c:pt idx="2">
                  <c:v>South Africa</c:v>
                </c:pt>
                <c:pt idx="3">
                  <c:v>Senegal</c:v>
                </c:pt>
                <c:pt idx="4">
                  <c:v>Rwanda</c:v>
                </c:pt>
                <c:pt idx="5">
                  <c:v>Nigeria</c:v>
                </c:pt>
                <c:pt idx="6">
                  <c:v>Kenya</c:v>
                </c:pt>
                <c:pt idx="7">
                  <c:v>Ghana</c:v>
                </c:pt>
                <c:pt idx="8">
                  <c:v>Egypt</c:v>
                </c:pt>
                <c:pt idx="9">
                  <c:v>Côte d’Ivoire</c:v>
                </c:pt>
              </c:strCache>
            </c:strRef>
          </c:cat>
          <c:val>
            <c:numRef>
              <c:f>'Pivot Tables'!$C$17:$C$27</c:f>
              <c:numCache>
                <c:formatCode>General</c:formatCode>
                <c:ptCount val="10"/>
                <c:pt idx="0">
                  <c:v>177112700</c:v>
                </c:pt>
                <c:pt idx="1">
                  <c:v>237119250</c:v>
                </c:pt>
                <c:pt idx="2">
                  <c:v>164997350</c:v>
                </c:pt>
                <c:pt idx="3">
                  <c:v>147821550</c:v>
                </c:pt>
                <c:pt idx="4">
                  <c:v>225940050</c:v>
                </c:pt>
                <c:pt idx="5">
                  <c:v>302613800</c:v>
                </c:pt>
                <c:pt idx="6">
                  <c:v>229987650</c:v>
                </c:pt>
                <c:pt idx="7">
                  <c:v>194985300</c:v>
                </c:pt>
                <c:pt idx="8">
                  <c:v>181420300</c:v>
                </c:pt>
                <c:pt idx="9">
                  <c:v>237371300</c:v>
                </c:pt>
              </c:numCache>
            </c:numRef>
          </c:val>
          <c:extLst>
            <c:ext xmlns:c16="http://schemas.microsoft.com/office/drawing/2014/chart" uri="{C3380CC4-5D6E-409C-BE32-E72D297353CC}">
              <c16:uniqueId val="{00000001-C605-4E18-AF4F-BF632BAE7DAB}"/>
            </c:ext>
          </c:extLst>
        </c:ser>
        <c:dLbls>
          <c:dLblPos val="outEnd"/>
          <c:showLegendKey val="0"/>
          <c:showVal val="0"/>
          <c:showCatName val="0"/>
          <c:showSerName val="0"/>
          <c:showPercent val="0"/>
          <c:showBubbleSize val="0"/>
        </c:dLbls>
        <c:gapWidth val="219"/>
        <c:overlap val="-27"/>
        <c:axId val="548866080"/>
        <c:axId val="134512176"/>
      </c:barChart>
      <c:catAx>
        <c:axId val="548866080"/>
        <c:scaling>
          <c:orientation val="minMax"/>
        </c:scaling>
        <c:delete val="1"/>
        <c:axPos val="b"/>
        <c:numFmt formatCode="General" sourceLinked="1"/>
        <c:majorTickMark val="none"/>
        <c:minorTickMark val="none"/>
        <c:tickLblPos val="nextTo"/>
        <c:crossAx val="134512176"/>
        <c:crosses val="autoZero"/>
        <c:auto val="1"/>
        <c:lblAlgn val="ctr"/>
        <c:lblOffset val="100"/>
        <c:noMultiLvlLbl val="0"/>
      </c:catAx>
      <c:valAx>
        <c:axId val="134512176"/>
        <c:scaling>
          <c:orientation val="minMax"/>
        </c:scaling>
        <c:delete val="1"/>
        <c:axPos val="l"/>
        <c:numFmt formatCode="General" sourceLinked="1"/>
        <c:majorTickMark val="none"/>
        <c:minorTickMark val="none"/>
        <c:tickLblPos val="nextTo"/>
        <c:crossAx val="548866080"/>
        <c:crosses val="autoZero"/>
        <c:crossBetween val="between"/>
      </c:valAx>
      <c:spPr>
        <a:noFill/>
        <a:ln>
          <a:noFill/>
        </a:ln>
        <a:effectLst/>
      </c:spPr>
    </c:plotArea>
    <c:legend>
      <c:legendPos val="r"/>
      <c:layout>
        <c:manualLayout>
          <c:xMode val="edge"/>
          <c:yMode val="edge"/>
          <c:x val="0.78484910575769096"/>
          <c:y val="0.36037908435098298"/>
          <c:w val="0.20758052083638245"/>
          <c:h val="0.52851022364719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[AfriMart_Sales_Dataset 2.xlsx]Pivot Tables!PivotTable9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a:t>
            </a:r>
            <a:r>
              <a:rPr lang="en-US" baseline="0"/>
              <a:t> Sold by Country</a:t>
            </a:r>
            <a:endParaRPr lang="en-US"/>
          </a:p>
        </c:rich>
      </c:tx>
      <c:layout>
        <c:manualLayout>
          <c:xMode val="edge"/>
          <c:yMode val="edge"/>
          <c:x val="0.21343007157380323"/>
          <c:y val="1.8616025937934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manualLayout>
          <c:layoutTarget val="inner"/>
          <c:xMode val="edge"/>
          <c:yMode val="edge"/>
          <c:x val="0.30533197246830518"/>
          <c:y val="0.20980255686116606"/>
          <c:w val="0.60450635978195033"/>
          <c:h val="0.63489976796378711"/>
        </c:manualLayout>
      </c:layout>
      <c:barChart>
        <c:barDir val="bar"/>
        <c:grouping val="clustered"/>
        <c:varyColors val="0"/>
        <c:ser>
          <c:idx val="0"/>
          <c:order val="0"/>
          <c:tx>
            <c:strRef>
              <c:f>'Pivot Tables'!$I$16</c:f>
              <c:strCache>
                <c:ptCount val="1"/>
                <c:pt idx="0">
                  <c:v>Total</c:v>
                </c:pt>
              </c:strCache>
            </c:strRef>
          </c:tx>
          <c:spPr>
            <a:solidFill>
              <a:schemeClr val="accent1"/>
            </a:solidFill>
            <a:ln>
              <a:noFill/>
            </a:ln>
            <a:effectLst/>
          </c:spPr>
          <c:invertIfNegative val="0"/>
          <c:cat>
            <c:strRef>
              <c:f>'Pivot Tables'!$H$17:$H$27</c:f>
              <c:strCache>
                <c:ptCount val="10"/>
                <c:pt idx="0">
                  <c:v>Côte d’Ivoire</c:v>
                </c:pt>
                <c:pt idx="1">
                  <c:v>Egypt</c:v>
                </c:pt>
                <c:pt idx="2">
                  <c:v>Ghana</c:v>
                </c:pt>
                <c:pt idx="3">
                  <c:v>Kenya</c:v>
                </c:pt>
                <c:pt idx="4">
                  <c:v>Nigeria</c:v>
                </c:pt>
                <c:pt idx="5">
                  <c:v>Rwanda</c:v>
                </c:pt>
                <c:pt idx="6">
                  <c:v>Senegal</c:v>
                </c:pt>
                <c:pt idx="7">
                  <c:v>South Africa</c:v>
                </c:pt>
                <c:pt idx="8">
                  <c:v>Tanzania</c:v>
                </c:pt>
                <c:pt idx="9">
                  <c:v>Uganda</c:v>
                </c:pt>
              </c:strCache>
            </c:strRef>
          </c:cat>
          <c:val>
            <c:numRef>
              <c:f>'Pivot Tables'!$I$17:$I$27</c:f>
              <c:numCache>
                <c:formatCode>General</c:formatCode>
                <c:ptCount val="10"/>
                <c:pt idx="0">
                  <c:v>114930</c:v>
                </c:pt>
                <c:pt idx="1">
                  <c:v>115600</c:v>
                </c:pt>
                <c:pt idx="2">
                  <c:v>82319</c:v>
                </c:pt>
                <c:pt idx="3">
                  <c:v>113937</c:v>
                </c:pt>
                <c:pt idx="4">
                  <c:v>126198</c:v>
                </c:pt>
                <c:pt idx="5">
                  <c:v>109760</c:v>
                </c:pt>
                <c:pt idx="6">
                  <c:v>84685</c:v>
                </c:pt>
                <c:pt idx="7">
                  <c:v>86642</c:v>
                </c:pt>
                <c:pt idx="8">
                  <c:v>97367</c:v>
                </c:pt>
                <c:pt idx="9">
                  <c:v>86447</c:v>
                </c:pt>
              </c:numCache>
            </c:numRef>
          </c:val>
          <c:extLst>
            <c:ext xmlns:c16="http://schemas.microsoft.com/office/drawing/2014/chart" uri="{C3380CC4-5D6E-409C-BE32-E72D297353CC}">
              <c16:uniqueId val="{00000000-30A2-4275-A65C-F15F2EE04F6D}"/>
            </c:ext>
          </c:extLst>
        </c:ser>
        <c:dLbls>
          <c:dLblPos val="outEnd"/>
          <c:showLegendKey val="0"/>
          <c:showVal val="0"/>
          <c:showCatName val="0"/>
          <c:showSerName val="0"/>
          <c:showPercent val="0"/>
          <c:showBubbleSize val="0"/>
        </c:dLbls>
        <c:gapWidth val="182"/>
        <c:axId val="95111440"/>
        <c:axId val="2142749935"/>
      </c:barChart>
      <c:catAx>
        <c:axId val="951114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2142749935"/>
        <c:crosses val="autoZero"/>
        <c:auto val="1"/>
        <c:lblAlgn val="ctr"/>
        <c:lblOffset val="100"/>
        <c:noMultiLvlLbl val="0"/>
      </c:catAx>
      <c:valAx>
        <c:axId val="21427499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9511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419100</xdr:colOff>
      <xdr:row>2</xdr:row>
      <xdr:rowOff>28575</xdr:rowOff>
    </xdr:from>
    <xdr:to>
      <xdr:col>14</xdr:col>
      <xdr:colOff>600076</xdr:colOff>
      <xdr:row>23</xdr:row>
      <xdr:rowOff>133350</xdr:rowOff>
    </xdr:to>
    <xdr:sp macro="" textlink="">
      <xdr:nvSpPr>
        <xdr:cNvPr id="2" name="Rectangle: Rounded Corners 1">
          <a:extLst>
            <a:ext uri="{FF2B5EF4-FFF2-40B4-BE49-F238E27FC236}">
              <a16:creationId xmlns:a16="http://schemas.microsoft.com/office/drawing/2014/main" id="{0449C5E3-BAAA-011C-1B4F-D492DB804092}"/>
            </a:ext>
          </a:extLst>
        </xdr:cNvPr>
        <xdr:cNvSpPr/>
      </xdr:nvSpPr>
      <xdr:spPr>
        <a:xfrm>
          <a:off x="1104900" y="390525"/>
          <a:ext cx="9096376" cy="3905250"/>
        </a:xfrm>
        <a:prstGeom prst="roundRect">
          <a:avLst>
            <a:gd name="adj" fmla="val 2262"/>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LID4096" sz="1100"/>
        </a:p>
      </xdr:txBody>
    </xdr:sp>
    <xdr:clientData/>
  </xdr:twoCellAnchor>
  <xdr:twoCellAnchor>
    <xdr:from>
      <xdr:col>3</xdr:col>
      <xdr:colOff>161925</xdr:colOff>
      <xdr:row>2</xdr:row>
      <xdr:rowOff>66674</xdr:rowOff>
    </xdr:from>
    <xdr:to>
      <xdr:col>5</xdr:col>
      <xdr:colOff>304800</xdr:colOff>
      <xdr:row>5</xdr:row>
      <xdr:rowOff>9524</xdr:rowOff>
    </xdr:to>
    <xdr:sp macro="" textlink="">
      <xdr:nvSpPr>
        <xdr:cNvPr id="3" name="Rectangle: Rounded Corners 2">
          <a:extLst>
            <a:ext uri="{FF2B5EF4-FFF2-40B4-BE49-F238E27FC236}">
              <a16:creationId xmlns:a16="http://schemas.microsoft.com/office/drawing/2014/main" id="{41A6C42E-4098-4660-969F-18C62F1AEBEA}"/>
            </a:ext>
          </a:extLst>
        </xdr:cNvPr>
        <xdr:cNvSpPr/>
      </xdr:nvSpPr>
      <xdr:spPr>
        <a:xfrm>
          <a:off x="2219325" y="428624"/>
          <a:ext cx="1514475" cy="485775"/>
        </a:xfrm>
        <a:prstGeom prst="roundRect">
          <a:avLst>
            <a:gd name="adj" fmla="val 4833"/>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AfRIMART KOLLBRIGHT SALES</a:t>
          </a:r>
          <a:r>
            <a:rPr lang="en-US" sz="1100" baseline="0"/>
            <a:t> DASHBOARD</a:t>
          </a:r>
          <a:endParaRPr lang="LID4096" sz="1100"/>
        </a:p>
      </xdr:txBody>
    </xdr:sp>
    <xdr:clientData/>
  </xdr:twoCellAnchor>
  <xdr:twoCellAnchor>
    <xdr:from>
      <xdr:col>5</xdr:col>
      <xdr:colOff>304800</xdr:colOff>
      <xdr:row>2</xdr:row>
      <xdr:rowOff>95251</xdr:rowOff>
    </xdr:from>
    <xdr:to>
      <xdr:col>7</xdr:col>
      <xdr:colOff>171450</xdr:colOff>
      <xdr:row>5</xdr:row>
      <xdr:rowOff>0</xdr:rowOff>
    </xdr:to>
    <xdr:sp macro="" textlink="">
      <xdr:nvSpPr>
        <xdr:cNvPr id="4" name="Rectangle: Rounded Corners 3">
          <a:extLst>
            <a:ext uri="{FF2B5EF4-FFF2-40B4-BE49-F238E27FC236}">
              <a16:creationId xmlns:a16="http://schemas.microsoft.com/office/drawing/2014/main" id="{8E5652EF-D3EB-4E01-92A0-5BF29CFB48E2}"/>
            </a:ext>
          </a:extLst>
        </xdr:cNvPr>
        <xdr:cNvSpPr/>
      </xdr:nvSpPr>
      <xdr:spPr>
        <a:xfrm>
          <a:off x="3733800" y="457201"/>
          <a:ext cx="1238250" cy="447674"/>
        </a:xfrm>
        <a:prstGeom prst="roundRect">
          <a:avLst>
            <a:gd name="adj" fmla="val 4833"/>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Total Revenue($)</a:t>
          </a:r>
        </a:p>
        <a:p>
          <a:pPr algn="l"/>
          <a:r>
            <a:rPr lang="" sz="1100" b="1" i="0" u="none" strike="noStrike">
              <a:solidFill>
                <a:schemeClr val="dk1"/>
              </a:solidFill>
              <a:effectLst/>
              <a:latin typeface="+mn-lt"/>
              <a:ea typeface="+mn-ea"/>
              <a:cs typeface="+mn-cs"/>
            </a:rPr>
            <a:t>10,447,536,600</a:t>
          </a:r>
          <a:r>
            <a:rPr lang="">
              <a:effectLst/>
            </a:rPr>
            <a:t> </a:t>
          </a:r>
          <a:endParaRPr lang="LID4096" sz="1100"/>
        </a:p>
      </xdr:txBody>
    </xdr:sp>
    <xdr:clientData/>
  </xdr:twoCellAnchor>
  <xdr:twoCellAnchor>
    <xdr:from>
      <xdr:col>9</xdr:col>
      <xdr:colOff>485775</xdr:colOff>
      <xdr:row>2</xdr:row>
      <xdr:rowOff>76201</xdr:rowOff>
    </xdr:from>
    <xdr:to>
      <xdr:col>11</xdr:col>
      <xdr:colOff>161925</xdr:colOff>
      <xdr:row>5</xdr:row>
      <xdr:rowOff>0</xdr:rowOff>
    </xdr:to>
    <xdr:sp macro="" textlink="">
      <xdr:nvSpPr>
        <xdr:cNvPr id="5" name="Rectangle: Rounded Corners 4">
          <a:extLst>
            <a:ext uri="{FF2B5EF4-FFF2-40B4-BE49-F238E27FC236}">
              <a16:creationId xmlns:a16="http://schemas.microsoft.com/office/drawing/2014/main" id="{EE8900EC-93DD-439B-899B-DBF5C88E3537}"/>
            </a:ext>
          </a:extLst>
        </xdr:cNvPr>
        <xdr:cNvSpPr/>
      </xdr:nvSpPr>
      <xdr:spPr>
        <a:xfrm>
          <a:off x="6657975" y="438151"/>
          <a:ext cx="1047750" cy="466724"/>
        </a:xfrm>
        <a:prstGeom prst="roundRect">
          <a:avLst>
            <a:gd name="adj" fmla="val 4833"/>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Total Profit($)</a:t>
          </a:r>
          <a:br>
            <a:rPr lang="en-US" sz="1100"/>
          </a:br>
          <a:r>
            <a:rPr lang="" sz="1100" b="1" i="0" u="none" strike="noStrike">
              <a:solidFill>
                <a:schemeClr val="dk1"/>
              </a:solidFill>
              <a:effectLst/>
              <a:latin typeface="+mn-lt"/>
              <a:ea typeface="+mn-ea"/>
              <a:cs typeface="+mn-cs"/>
            </a:rPr>
            <a:t>2,099,369,250</a:t>
          </a:r>
          <a:r>
            <a:rPr lang="">
              <a:effectLst/>
            </a:rPr>
            <a:t> </a:t>
          </a:r>
          <a:endParaRPr lang="LID4096" sz="1100"/>
        </a:p>
      </xdr:txBody>
    </xdr:sp>
    <xdr:clientData/>
  </xdr:twoCellAnchor>
  <xdr:twoCellAnchor>
    <xdr:from>
      <xdr:col>11</xdr:col>
      <xdr:colOff>180976</xdr:colOff>
      <xdr:row>2</xdr:row>
      <xdr:rowOff>76201</xdr:rowOff>
    </xdr:from>
    <xdr:to>
      <xdr:col>13</xdr:col>
      <xdr:colOff>95252</xdr:colOff>
      <xdr:row>4</xdr:row>
      <xdr:rowOff>161925</xdr:rowOff>
    </xdr:to>
    <xdr:sp macro="" textlink="">
      <xdr:nvSpPr>
        <xdr:cNvPr id="6" name="Rectangle: Rounded Corners 5">
          <a:extLst>
            <a:ext uri="{FF2B5EF4-FFF2-40B4-BE49-F238E27FC236}">
              <a16:creationId xmlns:a16="http://schemas.microsoft.com/office/drawing/2014/main" id="{E5AF62F3-C62E-454A-8D56-530DAFD84965}"/>
            </a:ext>
          </a:extLst>
        </xdr:cNvPr>
        <xdr:cNvSpPr/>
      </xdr:nvSpPr>
      <xdr:spPr>
        <a:xfrm>
          <a:off x="7724776" y="438151"/>
          <a:ext cx="1285876" cy="447674"/>
        </a:xfrm>
        <a:prstGeom prst="roundRect">
          <a:avLst>
            <a:gd name="adj" fmla="val 4833"/>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Total Products</a:t>
          </a:r>
          <a:r>
            <a:rPr lang="en-US" sz="1100" baseline="0"/>
            <a:t> </a:t>
          </a:r>
          <a:r>
            <a:rPr lang="en-US" sz="1100"/>
            <a:t>Sold</a:t>
          </a:r>
          <a:br>
            <a:rPr lang="en-US" sz="1100"/>
          </a:br>
          <a:r>
            <a:rPr lang="en-US" sz="1100"/>
            <a:t>       </a:t>
          </a:r>
          <a:r>
            <a:rPr lang="" sz="1100" b="1" i="0" u="none" strike="noStrike">
              <a:solidFill>
                <a:schemeClr val="dk1"/>
              </a:solidFill>
              <a:effectLst/>
              <a:latin typeface="+mn-lt"/>
              <a:ea typeface="+mn-ea"/>
              <a:cs typeface="+mn-cs"/>
            </a:rPr>
            <a:t>1,017,885</a:t>
          </a:r>
          <a:r>
            <a:rPr lang="">
              <a:effectLst/>
            </a:rPr>
            <a:t> </a:t>
          </a:r>
          <a:endParaRPr lang="LID4096" sz="1100"/>
        </a:p>
      </xdr:txBody>
    </xdr:sp>
    <xdr:clientData/>
  </xdr:twoCellAnchor>
  <xdr:twoCellAnchor>
    <xdr:from>
      <xdr:col>7</xdr:col>
      <xdr:colOff>171450</xdr:colOff>
      <xdr:row>2</xdr:row>
      <xdr:rowOff>85726</xdr:rowOff>
    </xdr:from>
    <xdr:to>
      <xdr:col>9</xdr:col>
      <xdr:colOff>476250</xdr:colOff>
      <xdr:row>5</xdr:row>
      <xdr:rowOff>1</xdr:rowOff>
    </xdr:to>
    <xdr:sp macro="" textlink="">
      <xdr:nvSpPr>
        <xdr:cNvPr id="7" name="Rectangle: Rounded Corners 6">
          <a:extLst>
            <a:ext uri="{FF2B5EF4-FFF2-40B4-BE49-F238E27FC236}">
              <a16:creationId xmlns:a16="http://schemas.microsoft.com/office/drawing/2014/main" id="{6F125067-C410-4446-89A8-1A6DA15207BF}"/>
            </a:ext>
          </a:extLst>
        </xdr:cNvPr>
        <xdr:cNvSpPr/>
      </xdr:nvSpPr>
      <xdr:spPr>
        <a:xfrm>
          <a:off x="4972050" y="447676"/>
          <a:ext cx="1676400" cy="457200"/>
        </a:xfrm>
        <a:prstGeom prst="roundRect">
          <a:avLst>
            <a:gd name="adj" fmla="val 4833"/>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a:t>Total Cost of Units</a:t>
          </a:r>
          <a:r>
            <a:rPr lang="en-US" sz="1100" baseline="0"/>
            <a:t> </a:t>
          </a:r>
          <a:r>
            <a:rPr lang="en-US" sz="1100"/>
            <a:t>Sold($) </a:t>
          </a:r>
          <a:br>
            <a:rPr lang="en-US" sz="1100" b="1" i="0" u="none" strike="noStrike">
              <a:solidFill>
                <a:schemeClr val="dk1"/>
              </a:solidFill>
              <a:effectLst/>
              <a:latin typeface="+mn-lt"/>
              <a:ea typeface="+mn-ea"/>
              <a:cs typeface="+mn-cs"/>
            </a:rPr>
          </a:br>
          <a:r>
            <a:rPr lang="" sz="1100" b="1" i="0" u="none" strike="noStrike">
              <a:solidFill>
                <a:schemeClr val="dk1"/>
              </a:solidFill>
              <a:effectLst/>
              <a:latin typeface="+mn-lt"/>
              <a:ea typeface="+mn-ea"/>
              <a:cs typeface="+mn-cs"/>
            </a:rPr>
            <a:t>8,348,167,350</a:t>
          </a:r>
          <a:r>
            <a:rPr lang="">
              <a:effectLst/>
            </a:rPr>
            <a:t> </a:t>
          </a:r>
          <a:endParaRPr lang="en-US" sz="1100"/>
        </a:p>
        <a:p>
          <a:pPr algn="l"/>
          <a:endParaRPr lang="" sz="1100" b="1" i="0" u="none" strike="noStrike">
            <a:solidFill>
              <a:schemeClr val="dk1"/>
            </a:solidFill>
            <a:effectLst/>
            <a:latin typeface="+mn-lt"/>
            <a:ea typeface="+mn-ea"/>
            <a:cs typeface="+mn-cs"/>
          </a:endParaRPr>
        </a:p>
      </xdr:txBody>
    </xdr:sp>
    <xdr:clientData/>
  </xdr:twoCellAnchor>
  <xdr:twoCellAnchor>
    <xdr:from>
      <xdr:col>3</xdr:col>
      <xdr:colOff>342901</xdr:colOff>
      <xdr:row>14</xdr:row>
      <xdr:rowOff>85725</xdr:rowOff>
    </xdr:from>
    <xdr:to>
      <xdr:col>7</xdr:col>
      <xdr:colOff>160021</xdr:colOff>
      <xdr:row>23</xdr:row>
      <xdr:rowOff>76200</xdr:rowOff>
    </xdr:to>
    <xdr:graphicFrame macro="">
      <xdr:nvGraphicFramePr>
        <xdr:cNvPr id="15" name="Chart 14">
          <a:extLst>
            <a:ext uri="{FF2B5EF4-FFF2-40B4-BE49-F238E27FC236}">
              <a16:creationId xmlns:a16="http://schemas.microsoft.com/office/drawing/2014/main" id="{B254F0E8-C01E-4F4D-BC69-D8825FF72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28576</xdr:colOff>
      <xdr:row>5</xdr:row>
      <xdr:rowOff>38100</xdr:rowOff>
    </xdr:from>
    <xdr:to>
      <xdr:col>14</xdr:col>
      <xdr:colOff>531496</xdr:colOff>
      <xdr:row>14</xdr:row>
      <xdr:rowOff>27813</xdr:rowOff>
    </xdr:to>
    <xdr:graphicFrame macro="">
      <xdr:nvGraphicFramePr>
        <xdr:cNvPr id="16" name="Chart 15">
          <a:extLst>
            <a:ext uri="{FF2B5EF4-FFF2-40B4-BE49-F238E27FC236}">
              <a16:creationId xmlns:a16="http://schemas.microsoft.com/office/drawing/2014/main" id="{D6E3AEBF-49BE-4F7F-863C-794EC2FEB2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190500</xdr:colOff>
      <xdr:row>14</xdr:row>
      <xdr:rowOff>85725</xdr:rowOff>
    </xdr:from>
    <xdr:to>
      <xdr:col>11</xdr:col>
      <xdr:colOff>7620</xdr:colOff>
      <xdr:row>23</xdr:row>
      <xdr:rowOff>76199</xdr:rowOff>
    </xdr:to>
    <xdr:graphicFrame macro="">
      <xdr:nvGraphicFramePr>
        <xdr:cNvPr id="18" name="Chart 17">
          <a:extLst>
            <a:ext uri="{FF2B5EF4-FFF2-40B4-BE49-F238E27FC236}">
              <a16:creationId xmlns:a16="http://schemas.microsoft.com/office/drawing/2014/main" id="{9B16DD30-2423-457A-92FA-717E23305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190501</xdr:colOff>
      <xdr:row>5</xdr:row>
      <xdr:rowOff>38100</xdr:rowOff>
    </xdr:from>
    <xdr:to>
      <xdr:col>11</xdr:col>
      <xdr:colOff>7621</xdr:colOff>
      <xdr:row>14</xdr:row>
      <xdr:rowOff>27813</xdr:rowOff>
    </xdr:to>
    <xdr:graphicFrame macro="">
      <xdr:nvGraphicFramePr>
        <xdr:cNvPr id="20" name="Chart 19">
          <a:extLst>
            <a:ext uri="{FF2B5EF4-FFF2-40B4-BE49-F238E27FC236}">
              <a16:creationId xmlns:a16="http://schemas.microsoft.com/office/drawing/2014/main" id="{488D911E-92DD-49CE-AA38-4A32E2583C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342901</xdr:colOff>
      <xdr:row>5</xdr:row>
      <xdr:rowOff>38100</xdr:rowOff>
    </xdr:from>
    <xdr:to>
      <xdr:col>7</xdr:col>
      <xdr:colOff>160021</xdr:colOff>
      <xdr:row>14</xdr:row>
      <xdr:rowOff>27813</xdr:rowOff>
    </xdr:to>
    <xdr:graphicFrame macro="">
      <xdr:nvGraphicFramePr>
        <xdr:cNvPr id="21" name="Chart 20">
          <a:extLst>
            <a:ext uri="{FF2B5EF4-FFF2-40B4-BE49-F238E27FC236}">
              <a16:creationId xmlns:a16="http://schemas.microsoft.com/office/drawing/2014/main" id="{E262903F-C346-4B59-BAE2-FDD849028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28574</xdr:colOff>
      <xdr:row>14</xdr:row>
      <xdr:rowOff>85724</xdr:rowOff>
    </xdr:from>
    <xdr:to>
      <xdr:col>14</xdr:col>
      <xdr:colOff>531494</xdr:colOff>
      <xdr:row>23</xdr:row>
      <xdr:rowOff>76199</xdr:rowOff>
    </xdr:to>
    <xdr:graphicFrame macro="">
      <xdr:nvGraphicFramePr>
        <xdr:cNvPr id="9" name="Chart 8">
          <a:extLst>
            <a:ext uri="{FF2B5EF4-FFF2-40B4-BE49-F238E27FC236}">
              <a16:creationId xmlns:a16="http://schemas.microsoft.com/office/drawing/2014/main" id="{7DDEE64D-C6EE-4E8D-9710-F742D484D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457200</xdr:colOff>
      <xdr:row>5</xdr:row>
      <xdr:rowOff>28574</xdr:rowOff>
    </xdr:from>
    <xdr:to>
      <xdr:col>3</xdr:col>
      <xdr:colOff>276225</xdr:colOff>
      <xdr:row>8</xdr:row>
      <xdr:rowOff>125729</xdr:rowOff>
    </xdr:to>
    <mc:AlternateContent xmlns:mc="http://schemas.openxmlformats.org/markup-compatibility/2006" xmlns:a14="http://schemas.microsoft.com/office/drawing/2010/main">
      <mc:Choice Requires="a14">
        <xdr:graphicFrame macro="">
          <xdr:nvGraphicFramePr>
            <xdr:cNvPr id="10" name="Date (Year)">
              <a:extLst>
                <a:ext uri="{FF2B5EF4-FFF2-40B4-BE49-F238E27FC236}">
                  <a16:creationId xmlns:a16="http://schemas.microsoft.com/office/drawing/2014/main" id="{07F9A4C3-017C-467D-B819-B961372E5B4D}"/>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143000" y="933449"/>
              <a:ext cx="1190625" cy="64008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447675</xdr:colOff>
      <xdr:row>8</xdr:row>
      <xdr:rowOff>142875</xdr:rowOff>
    </xdr:from>
    <xdr:to>
      <xdr:col>3</xdr:col>
      <xdr:colOff>264795</xdr:colOff>
      <xdr:row>15</xdr:row>
      <xdr:rowOff>57150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6CA9D6CC-C5C0-4524-A04E-90EABBE788D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33475" y="1590675"/>
              <a:ext cx="1188720" cy="1181100"/>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447675</xdr:colOff>
      <xdr:row>15</xdr:row>
      <xdr:rowOff>66675</xdr:rowOff>
    </xdr:from>
    <xdr:to>
      <xdr:col>3</xdr:col>
      <xdr:colOff>264795</xdr:colOff>
      <xdr:row>23</xdr:row>
      <xdr:rowOff>66674</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FFD1CD28-70DC-4E2B-BF84-D7E26BCBB2F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33475" y="2781300"/>
              <a:ext cx="1188720" cy="1447799"/>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104776</xdr:colOff>
      <xdr:row>2</xdr:row>
      <xdr:rowOff>85726</xdr:rowOff>
    </xdr:from>
    <xdr:to>
      <xdr:col>14</xdr:col>
      <xdr:colOff>600075</xdr:colOff>
      <xdr:row>4</xdr:row>
      <xdr:rowOff>161925</xdr:rowOff>
    </xdr:to>
    <xdr:sp macro="" textlink="">
      <xdr:nvSpPr>
        <xdr:cNvPr id="13" name="Rectangle: Rounded Corners 12">
          <a:extLst>
            <a:ext uri="{FF2B5EF4-FFF2-40B4-BE49-F238E27FC236}">
              <a16:creationId xmlns:a16="http://schemas.microsoft.com/office/drawing/2014/main" id="{E2667724-1AEF-464C-8AFC-B58865244FBE}"/>
            </a:ext>
          </a:extLst>
        </xdr:cNvPr>
        <xdr:cNvSpPr/>
      </xdr:nvSpPr>
      <xdr:spPr>
        <a:xfrm>
          <a:off x="9020176" y="447676"/>
          <a:ext cx="1181099" cy="438149"/>
        </a:xfrm>
        <a:prstGeom prst="roundRect">
          <a:avLst>
            <a:gd name="adj" fmla="val 4833"/>
          </a:avLst>
        </a:prstGeom>
        <a:solidFill>
          <a:schemeClr val="accent2">
            <a:lumMod val="40000"/>
            <a:lumOff val="6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US" sz="1100" baseline="0"/>
            <a:t> Profit Margin(%)</a:t>
          </a:r>
          <a:br>
            <a:rPr lang="en-US" sz="1100"/>
          </a:br>
          <a:r>
            <a:rPr lang="en-US" sz="1100"/>
            <a:t>        </a:t>
          </a:r>
          <a:r>
            <a:rPr lang="" sz="1100" b="1" i="0" u="none" strike="noStrike">
              <a:solidFill>
                <a:schemeClr val="dk1"/>
              </a:solidFill>
              <a:effectLst/>
              <a:latin typeface="+mn-lt"/>
              <a:ea typeface="+mn-ea"/>
              <a:cs typeface="+mn-cs"/>
            </a:rPr>
            <a:t>20</a:t>
          </a:r>
          <a:endParaRPr lang="LID4096" sz="1100"/>
        </a:p>
      </xdr:txBody>
    </xdr:sp>
    <xdr:clientData/>
  </xdr:twoCellAnchor>
  <xdr:twoCellAnchor editAs="oneCell">
    <xdr:from>
      <xdr:col>1</xdr:col>
      <xdr:colOff>433388</xdr:colOff>
      <xdr:row>2</xdr:row>
      <xdr:rowOff>85728</xdr:rowOff>
    </xdr:from>
    <xdr:to>
      <xdr:col>3</xdr:col>
      <xdr:colOff>142875</xdr:colOff>
      <xdr:row>4</xdr:row>
      <xdr:rowOff>142875</xdr:rowOff>
    </xdr:to>
    <xdr:pic>
      <xdr:nvPicPr>
        <xdr:cNvPr id="14" name="Picture 13">
          <a:extLst>
            <a:ext uri="{FF2B5EF4-FFF2-40B4-BE49-F238E27FC236}">
              <a16:creationId xmlns:a16="http://schemas.microsoft.com/office/drawing/2014/main" id="{598FEFA5-041A-B5A5-2DB2-1DB05473BC4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119188" y="447678"/>
          <a:ext cx="1081087" cy="41909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1134262" backgroundQuery="1" createdVersion="8" refreshedVersion="8" minRefreshableVersion="3" recordCount="0" supportSubquery="1" supportAdvancedDrill="1" xr:uid="{273BC99A-9D11-4B33-AA4A-DFAA7509C701}">
  <cacheSource type="external" connectionId="1"/>
  <cacheFields count="3">
    <cacheField name="[Table1].[Country].[Country]" caption="Country" numFmtId="0" level="1">
      <sharedItems count="10">
        <s v="Côte d’Ivoire"/>
        <s v="Egypt"/>
        <s v="Ghana"/>
        <s v="Kenya"/>
        <s v="Nigeria"/>
        <s v="Rwanda"/>
        <s v="Senegal"/>
        <s v="South Africa"/>
        <s v="Tanzania"/>
        <s v="Uganda"/>
      </sharedItems>
    </cacheField>
    <cacheField name="[Measures].[Sum of Units Sold]" caption="Sum of Units Sold" numFmtId="0" hierarchy="12" level="32767"/>
    <cacheField name="[Table1].[Date (Year)].[Date (Year)]" caption="Date (Year)" numFmtId="0" hierarchy="7" level="1">
      <sharedItems containsSemiMixedTypes="0" containsNonDate="0" containsString="0"/>
    </cacheField>
  </cacheFields>
  <cacheHierarchies count="23">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2" memberValueDatatype="20" unbalanced="0"/>
    <cacheHierarchy uniqueName="[Table1].[Revenue]" caption="Revenue" attribute="1" defaultMemberUniqueName="[Table1].[Revenue].[All]" allUniqueName="[Table1].[Revenue].[All]" dimensionUniqueName="[Table1]" displayFolder="" count="2" memberValueDatatype="20" unbalanced="0"/>
    <cacheHierarchy uniqueName="[Table1].[Cost]" caption="Cost" attribute="1" defaultMemberUniqueName="[Table1].[Cost].[All]" allUniqueName="[Table1].[Cost].[All]" dimensionUniqueName="[Table1]" displayFolder="" count="2" memberValueDatatype="20" unbalanced="0"/>
    <cacheHierarchy uniqueName="[Table1].[Profit]" caption="Profit" attribute="1" defaultMemberUniqueName="[Table1].[Profit].[All]" allUniqueName="[Table1].[Profit].[All]" dimensionUniqueName="[Table1]" displayFolder="" count="2" memberValueDatatype="20" unbalanced="0"/>
    <cacheHierarchy uniqueName="[Table1].[Date]" caption="Date" attribute="1" time="1" defaultMemberUniqueName="[Table1].[Date].[All]" allUniqueName="[Table1].[Date].[All]" dimensionUniqueName="[Table1]" displayFolder="" count="2"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cacheHierarchy uniqueName="[Table1].[Profit Margin(%)]" caption="Profit Margin(%)" attribute="1" defaultMemberUniqueName="[Table1].[Profit Margin(%)].[All]" allUniqueName="[Table1].[Profit Margin(%)].[All]" dimensionUniqueName="[Table1]" displayFolder="" count="2" memberValueDatatype="5"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Sum of Units Sold]" caption="Sum of Units Sold" measure="1" displayFolder="" measureGroup="Table1" count="0" oneField="1">
      <fieldsUsage count="1">
        <fieldUsage x="1"/>
      </fieldsUsage>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1944447" backgroundQuery="1" createdVersion="8" refreshedVersion="8" minRefreshableVersion="3" recordCount="0" supportSubquery="1" supportAdvancedDrill="1" xr:uid="{D36F7B50-3141-468B-9D8F-8E351FD56475}">
  <cacheSource type="external" connectionId="1"/>
  <cacheFields count="3">
    <cacheField name="[Measures].[Sum of Revenue]" caption="Sum of Revenue" numFmtId="0" hierarchy="14" level="32767"/>
    <cacheField name="[Measures].[Sum of Profit]" caption="Sum of Profit" numFmtId="0" hierarchy="15" level="32767"/>
    <cacheField name="[Table1].[Date (Year)].[Date (Year)]" caption="Date (Year)" numFmtId="0" hierarchy="7" level="1">
      <sharedItems count="3">
        <s v="2024"/>
        <s v="2025"/>
        <s v="2026"/>
      </sharedItems>
    </cacheField>
  </cacheFields>
  <cacheHierarchies count="23">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fieldsUsage count="1">
        <fieldUsage x="0"/>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fieldsUsage count="1">
        <fieldUsage x="1"/>
      </fieldsUsage>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2407409" backgroundQuery="1" createdVersion="8" refreshedVersion="8" minRefreshableVersion="3" recordCount="0" supportSubquery="1" supportAdvancedDrill="1" xr:uid="{847D2581-FC09-477B-A572-0E755E9EC6CB}">
  <cacheSource type="external" connectionId="1"/>
  <cacheFields count="3">
    <cacheField name="[Measures].[Sum of Revenue]" caption="Sum of Revenue" numFmtId="0" hierarchy="14" level="32767"/>
    <cacheField name="[Table1].[Product].[Product]" caption="Product" numFmtId="0" hierarchy="1" level="1">
      <sharedItems count="7">
        <s v="Bread (Family Loaf)"/>
        <s v="Cement (50kg)"/>
        <s v="Detergent (1kg)"/>
        <s v="Garri (Cassava Flour)"/>
        <s v="Mobile Data Bundle"/>
        <s v="Palm Oil (5L)"/>
        <s v="Rice (50kg Bag)"/>
      </sharedItems>
    </cacheField>
    <cacheField name="[Table1].[Date (Year)].[Date (Year)]" caption="Date (Year)" numFmtId="0" hierarchy="7" level="1">
      <sharedItems containsSemiMixedTypes="0" containsNonDate="0" containsString="0"/>
    </cacheField>
  </cacheFields>
  <cacheHierarchies count="23">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fieldsUsage count="1">
        <fieldUsage x="0"/>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298611" backgroundQuery="1" createdVersion="8" refreshedVersion="8" minRefreshableVersion="3" recordCount="0" supportSubquery="1" supportAdvancedDrill="1" xr:uid="{15AE4913-22A7-4393-BF7F-EBCEFB9F9B74}">
  <cacheSource type="external" connectionId="1"/>
  <cacheFields count="4">
    <cacheField name="[Table1].[Country].[Country]" caption="Country" numFmtId="0" level="1">
      <sharedItems count="10">
        <s v="Côte d’Ivoire"/>
        <s v="Egypt"/>
        <s v="Ghana"/>
        <s v="Kenya"/>
        <s v="Nigeria"/>
        <s v="Rwanda"/>
        <s v="Senegal"/>
        <s v="South Africa"/>
        <s v="Tanzania"/>
        <s v="Uganda"/>
      </sharedItems>
    </cacheField>
    <cacheField name="[Measures].[Sum of Revenue]" caption="Sum of Revenue" numFmtId="0" hierarchy="14" level="32767"/>
    <cacheField name="[Measures].[Sum of Profit]" caption="Sum of Profit" numFmtId="0" hierarchy="15" level="32767"/>
    <cacheField name="[Table1].[Date (Year)].[Date (Year)]" caption="Date (Year)" numFmtId="0" hierarchy="7" level="1">
      <sharedItems containsSemiMixedTypes="0" containsNonDate="0" containsString="0"/>
    </cacheField>
  </cacheFields>
  <cacheHierarchies count="23">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3"/>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oneField="1">
      <fieldsUsage count="1">
        <fieldUsage x="1"/>
      </fieldsUsage>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fieldsUsage count="1">
        <fieldUsage x="2"/>
      </fieldsUsage>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3564817" backgroundQuery="1" createdVersion="8" refreshedVersion="8" minRefreshableVersion="3" recordCount="0" supportSubquery="1" supportAdvancedDrill="1" xr:uid="{C7083B1E-E793-4A2F-A0D7-C19C88FE4A6C}">
  <cacheSource type="external" connectionId="1"/>
  <cacheFields count="3">
    <cacheField name="[Table1].[Country].[Country]" caption="Country" numFmtId="0" level="1">
      <sharedItems count="10">
        <s v="Côte d’Ivoire"/>
        <s v="Egypt"/>
        <s v="Ghana"/>
        <s v="Kenya"/>
        <s v="Nigeria"/>
        <s v="Rwanda"/>
        <s v="Senegal"/>
        <s v="South Africa"/>
        <s v="Tanzania"/>
        <s v="Uganda"/>
      </sharedItems>
    </cacheField>
    <cacheField name="[Measures].[Profit Margin]" caption="Profit Margin" numFmtId="0" hierarchy="19" level="32767"/>
    <cacheField name="[Table1].[Date (Year)].[Date (Year)]" caption="Date (Year)" numFmtId="0" hierarchy="7" level="1">
      <sharedItems containsSemiMixedTypes="0" containsNonDate="0" containsString="0"/>
    </cacheField>
  </cacheFields>
  <cacheHierarchies count="23">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oneField="1">
      <fieldsUsage count="1">
        <fieldUsage x="1"/>
      </fieldsUsage>
    </cacheHierarchy>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9334143518" backgroundQuery="1" createdVersion="8" refreshedVersion="8" minRefreshableVersion="3" recordCount="0" supportSubquery="1" supportAdvancedDrill="1" xr:uid="{86A694D8-185F-4C99-8DA1-722E17BC80EB}">
  <cacheSource type="external" connectionId="1"/>
  <cacheFields count="3">
    <cacheField name="[Measures].[Sum of Profit]" caption="Sum of Profit" numFmtId="0" hierarchy="15" level="32767"/>
    <cacheField name="[Table1].[Product].[Product]" caption="Product" numFmtId="0" hierarchy="1" level="1">
      <sharedItems count="7">
        <s v="Bread (Family Loaf)"/>
        <s v="Cement (50kg)"/>
        <s v="Detergent (1kg)"/>
        <s v="Garri (Cassava Flour)"/>
        <s v="Mobile Data Bundle"/>
        <s v="Palm Oil (5L)"/>
        <s v="Rice (50kg Bag)"/>
      </sharedItems>
    </cacheField>
    <cacheField name="[Table1].[Date (Year)].[Date (Year)]" caption="Date (Year)" numFmtId="0" hierarchy="7" level="1">
      <sharedItems containsSemiMixedTypes="0" containsNonDate="0" containsString="0"/>
    </cacheField>
  </cacheFields>
  <cacheHierarchies count="23">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fieldsUsage count="2">
        <fieldUsage x="-1"/>
        <fieldUsage x="1"/>
      </fieldsUsage>
    </cacheHierarchy>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oneField="1">
      <fieldsUsage count="1">
        <fieldUsage x="0"/>
      </fieldsUsage>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IZABETH CHUKWU" refreshedDate="46296.813463888888" backgroundQuery="1" createdVersion="3" refreshedVersion="8" minRefreshableVersion="3" recordCount="0" supportSubquery="1" supportAdvancedDrill="1" xr:uid="{9115CAFF-DA31-4AD0-9B4E-65009E152F0A}">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Country]" caption="Country" attribute="1" defaultMemberUniqueName="[Table1].[Country].[All]" allUniqueName="[Table1].[Country].[All]" dimensionUniqueName="[Table1]" displayFolder="" count="2" memberValueDatatype="130" unbalanced="0"/>
    <cacheHierarchy uniqueName="[Table1].[Product]" caption="Product" attribute="1" defaultMemberUniqueName="[Table1].[Product].[All]" allUniqueName="[Table1].[Product].[All]" dimensionUniqueName="[Table1]" displayFolder="" count="2" memberValueDatatype="130" unbalanced="0"/>
    <cacheHierarchy uniqueName="[Table1].[Units Sold]" caption="Units Sold" attribute="1" defaultMemberUniqueName="[Table1].[Units Sold].[All]" allUniqueName="[Table1].[Units Sold].[All]" dimensionUniqueName="[Table1]" displayFolder="" count="0" memberValueDatatype="20" unbalanced="0"/>
    <cacheHierarchy uniqueName="[Table1].[Revenue]" caption="Revenue" attribute="1" defaultMemberUniqueName="[Table1].[Revenue].[All]" allUniqueName="[Table1].[Revenue].[All]" dimensionUniqueName="[Table1]" displayFolder="" count="0" memberValueDatatype="20" unbalanced="0"/>
    <cacheHierarchy uniqueName="[Table1].[Cost]" caption="Cost" attribute="1" defaultMemberUniqueName="[Table1].[Cost].[All]" allUniqueName="[Table1].[Cost].[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Sum of Units Sold]" caption="Sum of Units Sold" measure="1" displayFolder="" measureGroup="Table1" count="0">
      <extLst>
        <ext xmlns:x15="http://schemas.microsoft.com/office/spreadsheetml/2010/11/main" uri="{B97F6D7D-B522-45F9-BDA1-12C45D357490}">
          <x15:cacheHierarchy aggregatedColumn="2"/>
        </ext>
      </extLst>
    </cacheHierarchy>
    <cacheHierarchy uniqueName="[Measures].[Count of Units Sold]" caption="Count of Units Sold" measure="1" displayFolder="" measureGroup="Table1" count="0">
      <extLst>
        <ext xmlns:x15="http://schemas.microsoft.com/office/spreadsheetml/2010/11/main" uri="{B97F6D7D-B522-45F9-BDA1-12C45D357490}">
          <x15:cacheHierarchy aggregatedColumn="2"/>
        </ext>
      </extLst>
    </cacheHierarchy>
    <cacheHierarchy uniqueName="[Measures].[Sum of Revenue]" caption="Sum of Revenue" measure="1" displayFolder="" measureGroup="Table1" count="0">
      <extLst>
        <ext xmlns:x15="http://schemas.microsoft.com/office/spreadsheetml/2010/11/main" uri="{B97F6D7D-B522-45F9-BDA1-12C45D357490}">
          <x15:cacheHierarchy aggregatedColumn="3"/>
        </ext>
      </extLst>
    </cacheHierarchy>
    <cacheHierarchy uniqueName="[Measures].[Sum of Profit]" caption="Sum of Profit" measure="1" displayFolder="" measureGroup="Table1" count="0">
      <extLst>
        <ext xmlns:x15="http://schemas.microsoft.com/office/spreadsheetml/2010/11/main" uri="{B97F6D7D-B522-45F9-BDA1-12C45D357490}">
          <x15:cacheHierarchy aggregatedColumn="5"/>
        </ext>
      </extLst>
    </cacheHierarchy>
    <cacheHierarchy uniqueName="[Measures].[Sum of Profit Margin(%)]" caption="Sum of Profit Margin(%)" measure="1" displayFolder="" measureGroup="Table1" count="0">
      <extLst>
        <ext xmlns:x15="http://schemas.microsoft.com/office/spreadsheetml/2010/11/main" uri="{B97F6D7D-B522-45F9-BDA1-12C45D357490}">
          <x15:cacheHierarchy aggregatedColumn="10"/>
        </ext>
      </extLst>
    </cacheHierarchy>
    <cacheHierarchy uniqueName="[Measures].[Count of Profit Margin(%)]" caption="Count of Profit Margin(%)" measure="1" displayFolder="" measureGroup="Table1" count="0">
      <extLst>
        <ext xmlns:x15="http://schemas.microsoft.com/office/spreadsheetml/2010/11/main" uri="{B97F6D7D-B522-45F9-BDA1-12C45D357490}">
          <x15:cacheHierarchy aggregatedColumn="10"/>
        </ext>
      </extLst>
    </cacheHierarchy>
    <cacheHierarchy uniqueName="[Measures].[Sum of Cost]" caption="Sum of Cost" measure="1" displayFolder="" measureGroup="Table1" count="0">
      <extLst>
        <ext xmlns:x15="http://schemas.microsoft.com/office/spreadsheetml/2010/11/main" uri="{B97F6D7D-B522-45F9-BDA1-12C45D357490}">
          <x15:cacheHierarchy aggregatedColumn="4"/>
        </ext>
      </extLst>
    </cacheHierarchy>
    <cacheHierarchy uniqueName="[Measures].[Profit Margin]" caption="Profit Margin" measure="1" displayFolder="" measureGroup="Table1" count="0"/>
    <cacheHierarchy uniqueName="[Measures].[Average Selling Price]" caption="Average Selling Pric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43056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B9F1B-DF9C-4D16-B13B-4440697E1068}" name="PivotTable7" cacheId="5" applyNumberFormats="0" applyBorderFormats="0" applyFontFormats="0" applyPatternFormats="0" applyAlignmentFormats="0" applyWidthHeightFormats="1" dataCaption="Values" tag="379450bf-c2a3-47fc-baa5-bfd4cd262350" updatedVersion="8" minRefreshableVersion="3" useAutoFormatting="1" subtotalHiddenItems="1" itemPrintTitles="1" createdVersion="8" indent="0" outline="1" outlineData="1" multipleFieldFilters="0" chartFormat="5">
  <location ref="E16:F24"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Profit"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7022A0-5758-4458-A108-B37BE32358F4}" name="PivotTable6" cacheId="4" applyNumberFormats="0" applyBorderFormats="0" applyFontFormats="0" applyPatternFormats="0" applyAlignmentFormats="0" applyWidthHeightFormats="1" dataCaption="Values" tag="c6cbe6f1-93e3-4247-ad30-a52221857fbb" updatedVersion="8" minRefreshableVersion="3" subtotalHiddenItems="1" itemPrintTitles="1" createdVersion="8" indent="0" outline="1" outlineData="1" multipleFieldFilters="0" chartFormat="10">
  <location ref="E2:F13"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chartFormats count="11">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 chart="2" format="11">
      <pivotArea type="data" outline="0" fieldPosition="0">
        <references count="2">
          <reference field="4294967294" count="1" selected="0">
            <x v="0"/>
          </reference>
          <reference field="0" count="1" selected="0">
            <x v="8"/>
          </reference>
        </references>
      </pivotArea>
    </chartFormat>
    <chartFormat chart="2" format="12">
      <pivotArea type="data" outline="0" fieldPosition="0">
        <references count="2">
          <reference field="4294967294" count="1" selected="0">
            <x v="0"/>
          </reference>
          <reference field="0" count="1" selected="0">
            <x v="9"/>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A6BFE4-F18E-4069-B7F1-6B9D57BE8AB5}" name="PivotTable5" cacheId="3" applyNumberFormats="0" applyBorderFormats="0" applyFontFormats="0" applyPatternFormats="0" applyAlignmentFormats="0" applyWidthHeightFormats="1" dataCaption="Values" tag="c4d51562-42b9-49d6-b021-92f96a340366" updatedVersion="8" minRefreshableVersion="3" useAutoFormatting="1" subtotalHiddenItems="1" itemPrintTitles="1" createdVersion="8" indent="0" outline="1" outlineData="1" multipleFieldFilters="0" chartFormat="11">
  <location ref="A16:C27" firstHeaderRow="0" firstDataRow="1" firstDataCol="1"/>
  <pivotFields count="4">
    <pivotField axis="axisRow" allDrilled="1" subtotalTop="0" showAll="0"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fld="1" baseField="0" baseItem="0"/>
    <dataField name="Sum of Profit" fld="2" baseField="0" baseItem="0"/>
  </dataField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F49434-01A1-4D11-9E9F-87BF9AE58FA4}" name="PivotTable4" cacheId="2" applyNumberFormats="0" applyBorderFormats="0" applyFontFormats="0" applyPatternFormats="0" applyAlignmentFormats="0" applyWidthHeightFormats="1" dataCaption="Values" tag="cd860209-393d-48b1-9d77-bcc28bbfa953" updatedVersion="8" minRefreshableVersion="3" useAutoFormatting="1" subtotalHiddenItems="1" itemPrintTitles="1" createdVersion="8" indent="0" outline="1" outlineData="1" multipleFieldFilters="0" chartFormat="5">
  <location ref="H2:I10"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Sum of Revenue" fld="0"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128029-B09B-4FF7-89ED-D5C7A806FB15}" name="PivotTable2" cacheId="1" applyNumberFormats="0" applyBorderFormats="0" applyFontFormats="0" applyPatternFormats="0" applyAlignmentFormats="0" applyWidthHeightFormats="1" dataCaption="Values" tag="03b9a8ee-5a09-449d-9997-31389d32c29d" updatedVersion="8" minRefreshableVersion="3" subtotalHiddenItems="1" itemPrintTitles="1" createdVersion="8" indent="0" outline="1" outlineData="1" multipleFieldFilters="0" chartFormat="8">
  <location ref="A3:C7"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Revenue" fld="0" baseField="0" baseItem="0"/>
    <dataField name="Sum of Profit" fld="1"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70B047-0CD9-48D5-B8C2-FABB1D5007AD}" name="PivotTable9" cacheId="0" applyNumberFormats="0" applyBorderFormats="0" applyFontFormats="0" applyPatternFormats="0" applyAlignmentFormats="0" applyWidthHeightFormats="1" dataCaption="Values" tag="dba03860-1f4f-4c02-a71b-4815c21052a1" updatedVersion="8" minRefreshableVersion="3" useAutoFormatting="1" subtotalHiddenItems="1" itemPrintTitles="1" createdVersion="8" indent="0" outline="1" outlineData="1" multipleFieldFilters="0" chartFormat="13">
  <location ref="H16:I2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Units Sold"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23">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friMart_Sales_Datase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54D026B-3F7B-4CBA-89C1-375BC0BA625D}" sourceName="[Table1].[Date (Year)]">
  <pivotTables>
    <pivotTable tabId="6" name="PivotTable9"/>
    <pivotTable tabId="6" name="PivotTable2"/>
    <pivotTable tabId="6" name="PivotTable4"/>
    <pivotTable tabId="6" name="PivotTable5"/>
    <pivotTable tabId="6" name="PivotTable6"/>
    <pivotTable tabId="6" name="PivotTable7"/>
  </pivotTables>
  <data>
    <olap pivotCacheId="804305658">
      <levels count="2">
        <level uniqueName="[Table1].[Date (Year)].[(All)]" sourceCaption="(All)" count="0"/>
        <level uniqueName="[Table1].[Date (Year)].[Date (Year)]" sourceCaption="Date (Year)" count="3">
          <ranges>
            <range startItem="0">
              <i n="[Table1].[Date (Year)].&amp;[2024]" c="2024"/>
              <i n="[Table1].[Date (Year)].&amp;[2025]" c="2025"/>
              <i n="[Table1].[Date (Year)].&amp;[2026]" c="2026"/>
            </range>
          </ranges>
        </level>
      </levels>
      <selections count="1">
        <selection n="[Table1].[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EC7CEB0-78F5-4039-8BFF-113BF0DB57BF}" sourceName="[Table1].[Product]">
  <pivotTables>
    <pivotTable tabId="6" name="PivotTable9"/>
    <pivotTable tabId="6" name="PivotTable2"/>
    <pivotTable tabId="6" name="PivotTable4"/>
    <pivotTable tabId="6" name="PivotTable5"/>
    <pivotTable tabId="6" name="PivotTable6"/>
    <pivotTable tabId="6" name="PivotTable7"/>
  </pivotTables>
  <data>
    <olap pivotCacheId="804305658">
      <levels count="2">
        <level uniqueName="[Table1].[Product].[(All)]" sourceCaption="(All)" count="0"/>
        <level uniqueName="[Table1].[Product].[Product]" sourceCaption="Product" count="7">
          <ranges>
            <range startItem="0">
              <i n="[Table1].[Product].&amp;[Bread (Family Loaf)]" c="Bread (Family Loaf)"/>
              <i n="[Table1].[Product].&amp;[Cement (50kg)]" c="Cement (50kg)"/>
              <i n="[Table1].[Product].&amp;[Detergent (1kg)]" c="Detergent (1kg)"/>
              <i n="[Table1].[Product].&amp;[Garri (Cassava Flour)]" c="Garri (Cassava Flour)"/>
              <i n="[Table1].[Product].&amp;[Mobile Data Bundle]" c="Mobile Data Bundle"/>
              <i n="[Table1].[Product].&amp;[Palm Oil (5L)]" c="Palm Oil (5L)"/>
              <i n="[Table1].[Product].&amp;[Rice (50kg Bag)]" c="Rice (50kg Bag)"/>
            </range>
          </ranges>
        </level>
      </levels>
      <selections count="1">
        <selection n="[Table1].[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42114CB-F287-4CDA-A064-FC7D858ED2A7}" sourceName="[Table1].[Country]">
  <pivotTables>
    <pivotTable tabId="6" name="PivotTable9"/>
    <pivotTable tabId="6" name="PivotTable2"/>
    <pivotTable tabId="6" name="PivotTable4"/>
    <pivotTable tabId="6" name="PivotTable5"/>
    <pivotTable tabId="6" name="PivotTable6"/>
    <pivotTable tabId="6" name="PivotTable7"/>
  </pivotTables>
  <data>
    <olap pivotCacheId="804305658">
      <levels count="2">
        <level uniqueName="[Table1].[Country].[(All)]" sourceCaption="(All)" count="0"/>
        <level uniqueName="[Table1].[Country].[Country]" sourceCaption="Country" count="10">
          <ranges>
            <range startItem="0">
              <i n="[Table1].[Country].&amp;[Côte d’Ivoire]" c="Côte d’Ivoire"/>
              <i n="[Table1].[Country].&amp;[Egypt]" c="Egypt"/>
              <i n="[Table1].[Country].&amp;[Ghana]" c="Ghana"/>
              <i n="[Table1].[Country].&amp;[Kenya]" c="Kenya"/>
              <i n="[Table1].[Country].&amp;[Nigeria]" c="Nigeria"/>
              <i n="[Table1].[Country].&amp;[Rwanda]" c="Rwanda"/>
              <i n="[Table1].[Country].&amp;[Senegal]" c="Senegal"/>
              <i n="[Table1].[Country].&amp;[South Africa]" c="South Africa"/>
              <i n="[Table1].[Country].&amp;[Tanzania]" c="Tanzania"/>
              <i n="[Table1].[Country].&amp;[Uganda]" c="Uganda"/>
            </range>
          </ranges>
        </level>
      </levels>
      <selections count="1">
        <selection n="[Table1].[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A5D69B8E-6333-45BA-BC0B-DE4BE247569D}" cache="Slicer_Date__Year" caption="Date (Year)" level="1" rowHeight="241300"/>
  <slicer name="Product" xr10:uid="{9916FEBF-D22B-43CF-9D58-B95240893FB0}" cache="Slicer_Product" caption="Product" level="1" rowHeight="241300"/>
  <slicer name="Country" xr10:uid="{121D35B5-193E-4606-A49E-E612B6DAF48B}" cache="Slicer_Country" caption="Country"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355FA4-6E98-466D-B5EB-DF41C9F02FED}" name="Table1" displayName="Table1" ref="A1:H701" totalsRowShown="0">
  <autoFilter ref="A1:H701" xr:uid="{7D355FA4-6E98-466D-B5EB-DF41C9F02FED}"/>
  <tableColumns count="8">
    <tableColumn id="1" xr3:uid="{187B4AE8-2536-4D2B-9508-95C51BB97903}" name="Country"/>
    <tableColumn id="2" xr3:uid="{9953B488-8F73-46EE-92D2-2FDA7F0E6116}" name="Product"/>
    <tableColumn id="3" xr3:uid="{69393B69-1701-4731-808B-32FC15BD2C35}" name="Units Sold"/>
    <tableColumn id="4" xr3:uid="{E1E768DD-9138-44ED-B3B9-23CC334110C4}" name="Revenue" dataDxfId="2"/>
    <tableColumn id="5" xr3:uid="{EE45FAE1-0D07-4E6A-B4FE-EE7BE748D682}" name="Cost"/>
    <tableColumn id="6" xr3:uid="{0AD81770-96C5-4516-A2E4-33F40C602898}" name="Profit"/>
    <tableColumn id="7" xr3:uid="{3257B4B8-5337-4027-8753-FF73F6752220}" name="Date" dataDxfId="1"/>
    <tableColumn id="8" xr3:uid="{83D3FAD6-F9B9-4157-8012-C8097411CCF0}" name="Profit Margin(%)" dataDxfId="0">
      <calculatedColumnFormula>Table1[[#This Row],[Profit]]/Table1[[#This Row],[Revenue]] *100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w Cen MT">
      <a:maj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HGPｺﾞｼｯｸE"/>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D3D55-6443-4842-AB2A-30D345292344}">
  <dimension ref="A2:I27"/>
  <sheetViews>
    <sheetView topLeftCell="D1" workbookViewId="0">
      <selection activeCell="L16" sqref="L16"/>
    </sheetView>
  </sheetViews>
  <sheetFormatPr defaultRowHeight="14.25" x14ac:dyDescent="0.2"/>
  <cols>
    <col min="1" max="1" width="11.75" bestFit="1" customWidth="1"/>
    <col min="2" max="2" width="13.75" bestFit="1" customWidth="1"/>
    <col min="3" max="3" width="11.125" bestFit="1" customWidth="1"/>
    <col min="4" max="4" width="12.25" customWidth="1"/>
    <col min="5" max="5" width="17.25" bestFit="1" customWidth="1"/>
    <col min="6" max="7" width="11.125" bestFit="1" customWidth="1"/>
    <col min="8" max="8" width="17.25" bestFit="1" customWidth="1"/>
    <col min="9" max="9" width="13.75" bestFit="1" customWidth="1"/>
    <col min="10" max="10" width="14.875" bestFit="1" customWidth="1"/>
    <col min="11" max="11" width="8.875" bestFit="1" customWidth="1"/>
    <col min="12" max="12" width="11.75" bestFit="1" customWidth="1"/>
    <col min="13" max="13" width="13.75" bestFit="1" customWidth="1"/>
    <col min="14" max="14" width="11.125" bestFit="1" customWidth="1"/>
    <col min="15" max="37" width="8.875" bestFit="1" customWidth="1"/>
    <col min="38" max="38" width="9.875" bestFit="1" customWidth="1"/>
    <col min="39" max="42" width="8.875" bestFit="1" customWidth="1"/>
    <col min="43" max="43" width="10.875" bestFit="1" customWidth="1"/>
    <col min="44" max="44" width="8.125" bestFit="1" customWidth="1"/>
    <col min="45" max="54" width="9.125" bestFit="1" customWidth="1"/>
    <col min="55" max="59" width="8.125" bestFit="1" customWidth="1"/>
    <col min="60" max="71" width="9.125" bestFit="1" customWidth="1"/>
    <col min="72" max="72" width="8.125" bestFit="1" customWidth="1"/>
    <col min="73" max="73" width="8.875" bestFit="1" customWidth="1"/>
    <col min="74" max="75" width="8.125" bestFit="1" customWidth="1"/>
    <col min="76" max="82" width="9.125" bestFit="1" customWidth="1"/>
    <col min="83" max="84" width="8.125" bestFit="1" customWidth="1"/>
    <col min="85" max="85" width="8.875" bestFit="1" customWidth="1"/>
    <col min="86" max="97" width="9.125" bestFit="1" customWidth="1"/>
    <col min="98" max="99" width="8.125" bestFit="1" customWidth="1"/>
    <col min="100" max="110" width="9.125" bestFit="1" customWidth="1"/>
    <col min="111" max="111" width="8.875" bestFit="1" customWidth="1"/>
    <col min="112" max="113" width="8.125" bestFit="1" customWidth="1"/>
    <col min="114" max="124" width="9.125" bestFit="1" customWidth="1"/>
    <col min="125" max="134" width="10.125" bestFit="1" customWidth="1"/>
    <col min="135" max="138" width="9.125" bestFit="1" customWidth="1"/>
    <col min="139" max="143" width="10.125" bestFit="1" customWidth="1"/>
    <col min="144" max="149" width="9.125" bestFit="1" customWidth="1"/>
    <col min="150" max="161" width="10.125" bestFit="1" customWidth="1"/>
    <col min="162" max="166" width="8.125" bestFit="1" customWidth="1"/>
    <col min="167" max="179" width="9.125" bestFit="1" customWidth="1"/>
    <col min="180" max="184" width="8.125" bestFit="1" customWidth="1"/>
    <col min="185" max="194" width="9.125" bestFit="1" customWidth="1"/>
    <col min="195" max="195" width="8.125" bestFit="1" customWidth="1"/>
    <col min="196" max="196" width="8.875" bestFit="1" customWidth="1"/>
    <col min="197" max="197" width="8.125" bestFit="1" customWidth="1"/>
    <col min="198" max="209" width="9.125" bestFit="1" customWidth="1"/>
    <col min="210" max="215" width="8.125" bestFit="1" customWidth="1"/>
    <col min="216" max="222" width="9.125" bestFit="1" customWidth="1"/>
    <col min="223" max="227" width="8.125" bestFit="1" customWidth="1"/>
    <col min="228" max="228" width="8.875" bestFit="1" customWidth="1"/>
    <col min="229" max="237" width="9.125" bestFit="1" customWidth="1"/>
    <col min="238" max="243" width="8.125" bestFit="1" customWidth="1"/>
    <col min="244" max="255" width="9.125" bestFit="1" customWidth="1"/>
    <col min="256" max="256" width="8.125" bestFit="1" customWidth="1"/>
    <col min="257" max="257" width="8.875" bestFit="1" customWidth="1"/>
    <col min="258" max="266" width="9.125" bestFit="1" customWidth="1"/>
    <col min="267" max="272" width="8.125" bestFit="1" customWidth="1"/>
    <col min="273" max="284" width="9.125" bestFit="1" customWidth="1"/>
    <col min="285" max="287" width="8.125" bestFit="1" customWidth="1"/>
    <col min="288" max="288" width="8.875" bestFit="1" customWidth="1"/>
    <col min="289" max="289" width="8.125" bestFit="1" customWidth="1"/>
    <col min="290" max="308" width="9.125" bestFit="1" customWidth="1"/>
    <col min="309" max="318" width="10.125" bestFit="1" customWidth="1"/>
    <col min="319" max="322" width="9.125" bestFit="1" customWidth="1"/>
    <col min="323" max="331" width="10.125" bestFit="1" customWidth="1"/>
    <col min="332" max="334" width="9.125" bestFit="1" customWidth="1"/>
    <col min="335" max="341" width="10.125" bestFit="1" customWidth="1"/>
    <col min="342" max="344" width="8.125" bestFit="1" customWidth="1"/>
    <col min="345" max="352" width="9.125" bestFit="1" customWidth="1"/>
    <col min="353" max="357" width="8.125" bestFit="1" customWidth="1"/>
    <col min="358" max="358" width="8.875" bestFit="1" customWidth="1"/>
    <col min="359" max="371" width="9.125" bestFit="1" customWidth="1"/>
    <col min="372" max="372" width="8.125" bestFit="1" customWidth="1"/>
    <col min="373" max="373" width="8.875" bestFit="1" customWidth="1"/>
    <col min="374" max="381" width="9.125" bestFit="1" customWidth="1"/>
    <col min="382" max="383" width="8.125" bestFit="1" customWidth="1"/>
    <col min="384" max="393" width="9.125" bestFit="1" customWidth="1"/>
    <col min="394" max="398" width="8.125" bestFit="1" customWidth="1"/>
    <col min="399" max="405" width="9.125" bestFit="1" customWidth="1"/>
    <col min="406" max="410" width="8.125" bestFit="1" customWidth="1"/>
    <col min="411" max="421" width="9.125" bestFit="1" customWidth="1"/>
    <col min="422" max="424" width="8.125" bestFit="1" customWidth="1"/>
    <col min="425" max="436" width="9.125" bestFit="1" customWidth="1"/>
    <col min="437" max="441" width="8.125" bestFit="1" customWidth="1"/>
    <col min="442" max="454" width="9.125" bestFit="1" customWidth="1"/>
    <col min="455" max="459" width="8.125" bestFit="1" customWidth="1"/>
    <col min="460" max="478" width="9.125" bestFit="1" customWidth="1"/>
    <col min="479" max="488" width="10.125" bestFit="1" customWidth="1"/>
    <col min="489" max="493" width="9.125" bestFit="1" customWidth="1"/>
    <col min="494" max="497" width="10.125" bestFit="1" customWidth="1"/>
    <col min="498" max="500" width="9.125" bestFit="1" customWidth="1"/>
    <col min="501" max="512" width="10.125" bestFit="1" customWidth="1"/>
    <col min="513" max="513" width="10.875" bestFit="1" customWidth="1"/>
    <col min="514" max="621" width="4.875" bestFit="1" customWidth="1"/>
    <col min="622" max="622" width="10.125" bestFit="1" customWidth="1"/>
  </cols>
  <sheetData>
    <row r="2" spans="1:9" x14ac:dyDescent="0.2">
      <c r="E2" s="5" t="s">
        <v>24</v>
      </c>
      <c r="F2" t="s">
        <v>32</v>
      </c>
      <c r="H2" s="5" t="s">
        <v>24</v>
      </c>
      <c r="I2" t="s">
        <v>27</v>
      </c>
    </row>
    <row r="3" spans="1:9" x14ac:dyDescent="0.2">
      <c r="A3" s="5" t="s">
        <v>24</v>
      </c>
      <c r="B3" t="s">
        <v>27</v>
      </c>
      <c r="C3" t="s">
        <v>28</v>
      </c>
      <c r="E3" s="6" t="s">
        <v>7</v>
      </c>
      <c r="F3" s="9">
        <v>0.20424701009553101</v>
      </c>
      <c r="H3" s="6" t="s">
        <v>12</v>
      </c>
      <c r="I3">
        <v>155614800</v>
      </c>
    </row>
    <row r="4" spans="1:9" x14ac:dyDescent="0.2">
      <c r="A4" s="6" t="s">
        <v>29</v>
      </c>
      <c r="B4">
        <v>3129927800</v>
      </c>
      <c r="C4">
        <v>628619850</v>
      </c>
      <c r="E4" s="6" t="s">
        <v>13</v>
      </c>
      <c r="F4" s="9">
        <v>0.2081900656712225</v>
      </c>
      <c r="H4" s="6" t="s">
        <v>23</v>
      </c>
      <c r="I4">
        <v>699210000</v>
      </c>
    </row>
    <row r="5" spans="1:9" x14ac:dyDescent="0.2">
      <c r="A5" s="6" t="s">
        <v>30</v>
      </c>
      <c r="B5">
        <v>3847142200</v>
      </c>
      <c r="C5">
        <v>762622950</v>
      </c>
      <c r="E5" s="6" t="s">
        <v>20</v>
      </c>
      <c r="F5" s="9">
        <v>0.20092144368509876</v>
      </c>
      <c r="H5" s="6" t="s">
        <v>10</v>
      </c>
      <c r="I5">
        <v>547218000</v>
      </c>
    </row>
    <row r="6" spans="1:9" x14ac:dyDescent="0.2">
      <c r="A6" s="6" t="s">
        <v>31</v>
      </c>
      <c r="B6">
        <v>3470466600</v>
      </c>
      <c r="C6">
        <v>708126450</v>
      </c>
      <c r="E6" s="6" t="s">
        <v>16</v>
      </c>
      <c r="F6" s="9">
        <v>0.20097642210251151</v>
      </c>
      <c r="H6" s="6" t="s">
        <v>14</v>
      </c>
      <c r="I6">
        <v>186430800</v>
      </c>
    </row>
    <row r="7" spans="1:9" x14ac:dyDescent="0.2">
      <c r="A7" s="6" t="s">
        <v>25</v>
      </c>
      <c r="B7">
        <v>10447536600</v>
      </c>
      <c r="C7">
        <v>2099369250</v>
      </c>
      <c r="E7" s="6" t="s">
        <v>21</v>
      </c>
      <c r="F7" s="9">
        <v>0.18652358876469138</v>
      </c>
      <c r="H7" s="6" t="s">
        <v>8</v>
      </c>
      <c r="I7">
        <v>446808000</v>
      </c>
    </row>
    <row r="8" spans="1:9" x14ac:dyDescent="0.2">
      <c r="E8" s="6" t="s">
        <v>15</v>
      </c>
      <c r="F8" s="9">
        <v>0.20712401394039462</v>
      </c>
      <c r="H8" s="6" t="s">
        <v>17</v>
      </c>
      <c r="I8">
        <v>2267595000</v>
      </c>
    </row>
    <row r="9" spans="1:9" x14ac:dyDescent="0.2">
      <c r="E9" s="6" t="s">
        <v>18</v>
      </c>
      <c r="F9" s="9">
        <v>0.22175173936478138</v>
      </c>
      <c r="H9" s="6" t="s">
        <v>19</v>
      </c>
      <c r="I9">
        <v>6144660000</v>
      </c>
    </row>
    <row r="10" spans="1:9" x14ac:dyDescent="0.2">
      <c r="E10" s="6" t="s">
        <v>9</v>
      </c>
      <c r="F10" s="9">
        <v>0.21179538235007567</v>
      </c>
      <c r="H10" s="6" t="s">
        <v>25</v>
      </c>
      <c r="I10">
        <v>10447536600</v>
      </c>
    </row>
    <row r="11" spans="1:9" x14ac:dyDescent="0.2">
      <c r="E11" s="6" t="s">
        <v>22</v>
      </c>
      <c r="F11" s="9">
        <v>0.18897947017518832</v>
      </c>
    </row>
    <row r="12" spans="1:9" x14ac:dyDescent="0.2">
      <c r="E12" s="6" t="s">
        <v>11</v>
      </c>
      <c r="F12" s="9">
        <v>0.20001045716559768</v>
      </c>
    </row>
    <row r="13" spans="1:9" x14ac:dyDescent="0.2">
      <c r="E13" s="6" t="s">
        <v>25</v>
      </c>
      <c r="F13" s="9">
        <v>0.20094394787762695</v>
      </c>
    </row>
    <row r="16" spans="1:9" x14ac:dyDescent="0.2">
      <c r="A16" s="5" t="s">
        <v>24</v>
      </c>
      <c r="B16" t="s">
        <v>27</v>
      </c>
      <c r="C16" t="s">
        <v>28</v>
      </c>
      <c r="E16" s="5" t="s">
        <v>24</v>
      </c>
      <c r="F16" t="s">
        <v>28</v>
      </c>
      <c r="H16" s="5" t="s">
        <v>24</v>
      </c>
      <c r="I16" t="s">
        <v>26</v>
      </c>
    </row>
    <row r="17" spans="1:9" x14ac:dyDescent="0.2">
      <c r="A17" s="6" t="s">
        <v>11</v>
      </c>
      <c r="B17">
        <v>885517200</v>
      </c>
      <c r="C17">
        <v>177112700</v>
      </c>
      <c r="E17" s="6" t="s">
        <v>12</v>
      </c>
      <c r="F17">
        <v>45387650</v>
      </c>
      <c r="H17" s="6" t="s">
        <v>7</v>
      </c>
      <c r="I17">
        <v>114930</v>
      </c>
    </row>
    <row r="18" spans="1:9" x14ac:dyDescent="0.2">
      <c r="A18" s="6" t="s">
        <v>22</v>
      </c>
      <c r="B18">
        <v>1254735500</v>
      </c>
      <c r="C18">
        <v>237119250</v>
      </c>
      <c r="E18" s="6" t="s">
        <v>23</v>
      </c>
      <c r="F18">
        <v>111873600</v>
      </c>
      <c r="H18" s="6" t="s">
        <v>13</v>
      </c>
      <c r="I18">
        <v>115600</v>
      </c>
    </row>
    <row r="19" spans="1:9" x14ac:dyDescent="0.2">
      <c r="A19" s="6" t="s">
        <v>9</v>
      </c>
      <c r="B19">
        <v>779041300</v>
      </c>
      <c r="C19">
        <v>164997350</v>
      </c>
      <c r="E19" s="6" t="s">
        <v>10</v>
      </c>
      <c r="F19">
        <v>140713200</v>
      </c>
      <c r="H19" s="6" t="s">
        <v>20</v>
      </c>
      <c r="I19">
        <v>82319</v>
      </c>
    </row>
    <row r="20" spans="1:9" x14ac:dyDescent="0.2">
      <c r="A20" s="6" t="s">
        <v>18</v>
      </c>
      <c r="B20">
        <v>666608300</v>
      </c>
      <c r="C20">
        <v>147821550</v>
      </c>
      <c r="E20" s="6" t="s">
        <v>14</v>
      </c>
      <c r="F20">
        <v>62143600</v>
      </c>
      <c r="H20" s="6" t="s">
        <v>16</v>
      </c>
      <c r="I20">
        <v>113937</v>
      </c>
    </row>
    <row r="21" spans="1:9" x14ac:dyDescent="0.2">
      <c r="A21" s="6" t="s">
        <v>15</v>
      </c>
      <c r="B21">
        <v>1090844300</v>
      </c>
      <c r="C21">
        <v>225940050</v>
      </c>
      <c r="E21" s="6" t="s">
        <v>8</v>
      </c>
      <c r="F21">
        <v>178723200</v>
      </c>
      <c r="H21" s="6" t="s">
        <v>21</v>
      </c>
      <c r="I21">
        <v>126198</v>
      </c>
    </row>
    <row r="22" spans="1:9" x14ac:dyDescent="0.2">
      <c r="A22" s="6" t="s">
        <v>21</v>
      </c>
      <c r="B22">
        <v>1622388900</v>
      </c>
      <c r="C22">
        <v>302613800</v>
      </c>
      <c r="E22" s="6" t="s">
        <v>17</v>
      </c>
      <c r="F22">
        <v>604692000</v>
      </c>
      <c r="H22" s="6" t="s">
        <v>15</v>
      </c>
      <c r="I22">
        <v>109760</v>
      </c>
    </row>
    <row r="23" spans="1:9" x14ac:dyDescent="0.2">
      <c r="A23" s="6" t="s">
        <v>16</v>
      </c>
      <c r="B23">
        <v>1144351400</v>
      </c>
      <c r="C23">
        <v>229987650</v>
      </c>
      <c r="E23" s="6" t="s">
        <v>19</v>
      </c>
      <c r="F23">
        <v>955836000</v>
      </c>
      <c r="H23" s="6" t="s">
        <v>18</v>
      </c>
      <c r="I23">
        <v>84685</v>
      </c>
    </row>
    <row r="24" spans="1:9" x14ac:dyDescent="0.2">
      <c r="A24" s="6" t="s">
        <v>20</v>
      </c>
      <c r="B24">
        <v>970455400</v>
      </c>
      <c r="C24">
        <v>194985300</v>
      </c>
      <c r="E24" s="6" t="s">
        <v>25</v>
      </c>
      <c r="F24">
        <v>2099369250</v>
      </c>
      <c r="H24" s="6" t="s">
        <v>9</v>
      </c>
      <c r="I24">
        <v>86642</v>
      </c>
    </row>
    <row r="25" spans="1:9" x14ac:dyDescent="0.2">
      <c r="A25" s="6" t="s">
        <v>13</v>
      </c>
      <c r="B25">
        <v>871416700</v>
      </c>
      <c r="C25">
        <v>181420300</v>
      </c>
      <c r="H25" s="6" t="s">
        <v>22</v>
      </c>
      <c r="I25">
        <v>97367</v>
      </c>
    </row>
    <row r="26" spans="1:9" x14ac:dyDescent="0.2">
      <c r="A26" s="6" t="s">
        <v>7</v>
      </c>
      <c r="B26">
        <v>1162177600</v>
      </c>
      <c r="C26">
        <v>237371300</v>
      </c>
      <c r="H26" s="6" t="s">
        <v>11</v>
      </c>
      <c r="I26">
        <v>86447</v>
      </c>
    </row>
    <row r="27" spans="1:9" x14ac:dyDescent="0.2">
      <c r="A27" s="6" t="s">
        <v>25</v>
      </c>
      <c r="B27">
        <v>10447536600</v>
      </c>
      <c r="C27">
        <v>2099369250</v>
      </c>
      <c r="H27" s="6" t="s">
        <v>25</v>
      </c>
      <c r="I27">
        <v>1017885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01"/>
  <sheetViews>
    <sheetView zoomScale="145" workbookViewId="0">
      <pane ySplit="1" topLeftCell="A689" activePane="bottomLeft" state="frozen"/>
      <selection pane="bottomLeft" activeCell="G1" sqref="G1"/>
    </sheetView>
  </sheetViews>
  <sheetFormatPr defaultRowHeight="14.25" x14ac:dyDescent="0.2"/>
  <cols>
    <col min="1" max="1" width="12.375" customWidth="1"/>
    <col min="2" max="2" width="19.25" customWidth="1"/>
    <col min="3" max="3" width="10.625" customWidth="1"/>
    <col min="4" max="4" width="14" customWidth="1"/>
    <col min="5" max="5" width="9.875" customWidth="1"/>
    <col min="6" max="6" width="8.875" customWidth="1"/>
    <col min="7" max="7" width="19" style="1" customWidth="1"/>
    <col min="8" max="8" width="15.125" customWidth="1"/>
  </cols>
  <sheetData>
    <row r="1" spans="1:8" x14ac:dyDescent="0.2">
      <c r="A1" t="s">
        <v>0</v>
      </c>
      <c r="B1" t="s">
        <v>1</v>
      </c>
      <c r="C1" t="s">
        <v>2</v>
      </c>
      <c r="D1" s="8" t="s">
        <v>3</v>
      </c>
      <c r="E1" t="s">
        <v>4</v>
      </c>
      <c r="F1" t="s">
        <v>5</v>
      </c>
      <c r="G1" s="1" t="s">
        <v>6</v>
      </c>
      <c r="H1" s="7" t="s">
        <v>33</v>
      </c>
    </row>
    <row r="2" spans="1:8" x14ac:dyDescent="0.2">
      <c r="A2" t="s">
        <v>7</v>
      </c>
      <c r="B2" t="s">
        <v>8</v>
      </c>
      <c r="C2">
        <v>2731</v>
      </c>
      <c r="D2" s="8">
        <v>8193000</v>
      </c>
      <c r="E2">
        <v>4915800</v>
      </c>
      <c r="F2">
        <v>3277200</v>
      </c>
      <c r="G2" s="1">
        <v>45377</v>
      </c>
      <c r="H2" s="7">
        <f>Table1[[#This Row],[Profit]]/Table1[[#This Row],[Revenue]] *100</f>
        <v>40</v>
      </c>
    </row>
    <row r="3" spans="1:8" x14ac:dyDescent="0.2">
      <c r="A3" t="s">
        <v>9</v>
      </c>
      <c r="B3" t="s">
        <v>10</v>
      </c>
      <c r="C3">
        <v>1649</v>
      </c>
      <c r="D3" s="8">
        <v>5771500</v>
      </c>
      <c r="E3">
        <v>4287400</v>
      </c>
      <c r="F3">
        <v>1484100</v>
      </c>
      <c r="G3" s="1">
        <v>45602</v>
      </c>
      <c r="H3" s="7">
        <f>Table1[[#This Row],[Profit]]/Table1[[#This Row],[Revenue]] *100</f>
        <v>25.714285714285712</v>
      </c>
    </row>
    <row r="4" spans="1:8" x14ac:dyDescent="0.2">
      <c r="A4" t="s">
        <v>11</v>
      </c>
      <c r="B4" t="s">
        <v>12</v>
      </c>
      <c r="C4">
        <v>179</v>
      </c>
      <c r="D4" s="8">
        <v>214800</v>
      </c>
      <c r="E4">
        <v>152150</v>
      </c>
      <c r="F4">
        <v>62650</v>
      </c>
      <c r="G4" s="1">
        <v>45718</v>
      </c>
      <c r="H4" s="7">
        <f>Table1[[#This Row],[Profit]]/Table1[[#This Row],[Revenue]] *100</f>
        <v>29.166666666666668</v>
      </c>
    </row>
    <row r="5" spans="1:8" x14ac:dyDescent="0.2">
      <c r="A5" t="s">
        <v>13</v>
      </c>
      <c r="B5" t="s">
        <v>14</v>
      </c>
      <c r="C5">
        <v>1895</v>
      </c>
      <c r="D5" s="8">
        <v>2274000</v>
      </c>
      <c r="E5">
        <v>1516000</v>
      </c>
      <c r="F5">
        <v>758000</v>
      </c>
      <c r="G5" s="1">
        <v>45405</v>
      </c>
      <c r="H5" s="7">
        <f>Table1[[#This Row],[Profit]]/Table1[[#This Row],[Revenue]] *100</f>
        <v>33.333333333333329</v>
      </c>
    </row>
    <row r="6" spans="1:8" x14ac:dyDescent="0.2">
      <c r="A6" t="s">
        <v>7</v>
      </c>
      <c r="B6" t="s">
        <v>10</v>
      </c>
      <c r="C6">
        <v>1436</v>
      </c>
      <c r="D6" s="8">
        <v>5026000</v>
      </c>
      <c r="E6">
        <v>3733600</v>
      </c>
      <c r="F6">
        <v>1292400</v>
      </c>
      <c r="G6" s="1">
        <v>45594</v>
      </c>
      <c r="H6" s="7">
        <f>Table1[[#This Row],[Profit]]/Table1[[#This Row],[Revenue]] *100</f>
        <v>25.714285714285712</v>
      </c>
    </row>
    <row r="7" spans="1:8" x14ac:dyDescent="0.2">
      <c r="A7" t="s">
        <v>15</v>
      </c>
      <c r="B7" t="s">
        <v>14</v>
      </c>
      <c r="C7">
        <v>2916</v>
      </c>
      <c r="D7" s="8">
        <v>3499200</v>
      </c>
      <c r="E7">
        <v>2332800</v>
      </c>
      <c r="F7">
        <v>1166400</v>
      </c>
      <c r="G7" s="1">
        <v>46035</v>
      </c>
      <c r="H7" s="7">
        <f>Table1[[#This Row],[Profit]]/Table1[[#This Row],[Revenue]] *100</f>
        <v>33.333333333333329</v>
      </c>
    </row>
    <row r="8" spans="1:8" x14ac:dyDescent="0.2">
      <c r="A8" t="s">
        <v>16</v>
      </c>
      <c r="B8" t="s">
        <v>14</v>
      </c>
      <c r="C8">
        <v>742</v>
      </c>
      <c r="D8" s="8">
        <v>890400</v>
      </c>
      <c r="E8">
        <v>593600</v>
      </c>
      <c r="F8">
        <v>296800</v>
      </c>
      <c r="G8" s="1">
        <v>45879</v>
      </c>
      <c r="H8" s="7">
        <f>Table1[[#This Row],[Profit]]/Table1[[#This Row],[Revenue]] *100</f>
        <v>33.333333333333329</v>
      </c>
    </row>
    <row r="9" spans="1:8" x14ac:dyDescent="0.2">
      <c r="A9" t="s">
        <v>7</v>
      </c>
      <c r="B9" t="s">
        <v>14</v>
      </c>
      <c r="C9">
        <v>1444</v>
      </c>
      <c r="D9" s="8">
        <v>1732800</v>
      </c>
      <c r="E9">
        <v>1155200</v>
      </c>
      <c r="F9">
        <v>577600</v>
      </c>
      <c r="G9" s="1">
        <v>46278</v>
      </c>
      <c r="H9" s="7">
        <f>Table1[[#This Row],[Profit]]/Table1[[#This Row],[Revenue]] *100</f>
        <v>33.333333333333329</v>
      </c>
    </row>
    <row r="10" spans="1:8" x14ac:dyDescent="0.2">
      <c r="A10" t="s">
        <v>11</v>
      </c>
      <c r="B10" t="s">
        <v>10</v>
      </c>
      <c r="C10">
        <v>843</v>
      </c>
      <c r="D10" s="8">
        <v>2950500</v>
      </c>
      <c r="E10">
        <v>2191800</v>
      </c>
      <c r="F10">
        <v>758700</v>
      </c>
      <c r="G10" s="1">
        <v>45636</v>
      </c>
      <c r="H10" s="7">
        <f>Table1[[#This Row],[Profit]]/Table1[[#This Row],[Revenue]] *100</f>
        <v>25.714285714285712</v>
      </c>
    </row>
    <row r="11" spans="1:8" x14ac:dyDescent="0.2">
      <c r="A11" t="s">
        <v>13</v>
      </c>
      <c r="B11" t="s">
        <v>8</v>
      </c>
      <c r="C11">
        <v>78</v>
      </c>
      <c r="D11" s="8">
        <v>234000</v>
      </c>
      <c r="E11">
        <v>140400</v>
      </c>
      <c r="F11">
        <v>93600</v>
      </c>
      <c r="G11" s="1">
        <v>46105</v>
      </c>
      <c r="H11" s="7">
        <f>Table1[[#This Row],[Profit]]/Table1[[#This Row],[Revenue]] *100</f>
        <v>40</v>
      </c>
    </row>
    <row r="12" spans="1:8" x14ac:dyDescent="0.2">
      <c r="A12" t="s">
        <v>9</v>
      </c>
      <c r="B12" t="s">
        <v>17</v>
      </c>
      <c r="C12">
        <v>198</v>
      </c>
      <c r="D12" s="8">
        <v>2970000</v>
      </c>
      <c r="E12">
        <v>2178000</v>
      </c>
      <c r="F12">
        <v>792000</v>
      </c>
      <c r="G12" s="1">
        <v>46092</v>
      </c>
      <c r="H12" s="7">
        <f>Table1[[#This Row],[Profit]]/Table1[[#This Row],[Revenue]] *100</f>
        <v>26.666666666666668</v>
      </c>
    </row>
    <row r="13" spans="1:8" x14ac:dyDescent="0.2">
      <c r="A13" t="s">
        <v>11</v>
      </c>
      <c r="B13" t="s">
        <v>17</v>
      </c>
      <c r="C13">
        <v>1369</v>
      </c>
      <c r="D13" s="8">
        <v>20535000</v>
      </c>
      <c r="E13">
        <v>15059000</v>
      </c>
      <c r="F13">
        <v>5476000</v>
      </c>
      <c r="G13" s="1">
        <v>46316</v>
      </c>
      <c r="H13" s="7">
        <f>Table1[[#This Row],[Profit]]/Table1[[#This Row],[Revenue]] *100</f>
        <v>26.666666666666668</v>
      </c>
    </row>
    <row r="14" spans="1:8" x14ac:dyDescent="0.2">
      <c r="A14" t="s">
        <v>11</v>
      </c>
      <c r="B14" t="s">
        <v>8</v>
      </c>
      <c r="C14">
        <v>2108</v>
      </c>
      <c r="D14" s="8">
        <v>6324000</v>
      </c>
      <c r="E14">
        <v>3794400</v>
      </c>
      <c r="F14">
        <v>2529600</v>
      </c>
      <c r="G14" s="1">
        <v>46368</v>
      </c>
      <c r="H14" s="7">
        <f>Table1[[#This Row],[Profit]]/Table1[[#This Row],[Revenue]] *100</f>
        <v>40</v>
      </c>
    </row>
    <row r="15" spans="1:8" x14ac:dyDescent="0.2">
      <c r="A15" t="s">
        <v>16</v>
      </c>
      <c r="B15" t="s">
        <v>14</v>
      </c>
      <c r="C15">
        <v>2773</v>
      </c>
      <c r="D15" s="8">
        <v>3327600</v>
      </c>
      <c r="E15">
        <v>2218400</v>
      </c>
      <c r="F15">
        <v>1109200</v>
      </c>
      <c r="G15" s="1">
        <v>46384</v>
      </c>
      <c r="H15" s="7">
        <f>Table1[[#This Row],[Profit]]/Table1[[#This Row],[Revenue]] *100</f>
        <v>33.333333333333329</v>
      </c>
    </row>
    <row r="16" spans="1:8" x14ac:dyDescent="0.2">
      <c r="A16" t="s">
        <v>18</v>
      </c>
      <c r="B16" t="s">
        <v>12</v>
      </c>
      <c r="C16">
        <v>1186</v>
      </c>
      <c r="D16" s="8">
        <v>1423200</v>
      </c>
      <c r="E16">
        <v>1008100</v>
      </c>
      <c r="F16">
        <v>415100</v>
      </c>
      <c r="G16" s="1">
        <v>45652</v>
      </c>
      <c r="H16" s="7">
        <f>Table1[[#This Row],[Profit]]/Table1[[#This Row],[Revenue]] *100</f>
        <v>29.166666666666668</v>
      </c>
    </row>
    <row r="17" spans="1:8" x14ac:dyDescent="0.2">
      <c r="A17" t="s">
        <v>13</v>
      </c>
      <c r="B17" t="s">
        <v>19</v>
      </c>
      <c r="C17">
        <v>236</v>
      </c>
      <c r="D17" s="8">
        <v>10620000</v>
      </c>
      <c r="E17">
        <v>8968000</v>
      </c>
      <c r="F17">
        <v>1652000</v>
      </c>
      <c r="G17" s="1">
        <v>46301</v>
      </c>
      <c r="H17" s="7">
        <f>Table1[[#This Row],[Profit]]/Table1[[#This Row],[Revenue]] *100</f>
        <v>15.555555555555555</v>
      </c>
    </row>
    <row r="18" spans="1:8" x14ac:dyDescent="0.2">
      <c r="A18" t="s">
        <v>20</v>
      </c>
      <c r="B18" t="s">
        <v>10</v>
      </c>
      <c r="C18">
        <v>2904</v>
      </c>
      <c r="D18" s="8">
        <v>10164000</v>
      </c>
      <c r="E18">
        <v>7550400</v>
      </c>
      <c r="F18">
        <v>2613600</v>
      </c>
      <c r="G18" s="1">
        <v>45995</v>
      </c>
      <c r="H18" s="7">
        <f>Table1[[#This Row],[Profit]]/Table1[[#This Row],[Revenue]] *100</f>
        <v>25.714285714285712</v>
      </c>
    </row>
    <row r="19" spans="1:8" x14ac:dyDescent="0.2">
      <c r="A19" t="s">
        <v>11</v>
      </c>
      <c r="B19" t="s">
        <v>19</v>
      </c>
      <c r="C19">
        <v>2841</v>
      </c>
      <c r="D19" s="8">
        <v>127845000</v>
      </c>
      <c r="E19" s="4">
        <v>107958000</v>
      </c>
      <c r="F19">
        <v>19887000</v>
      </c>
      <c r="G19" s="1">
        <v>45866</v>
      </c>
      <c r="H19" s="7">
        <f>Table1[[#This Row],[Profit]]/Table1[[#This Row],[Revenue]] *100</f>
        <v>15.555555555555555</v>
      </c>
    </row>
    <row r="20" spans="1:8" x14ac:dyDescent="0.2">
      <c r="A20" t="s">
        <v>18</v>
      </c>
      <c r="B20" t="s">
        <v>8</v>
      </c>
      <c r="C20">
        <v>1300</v>
      </c>
      <c r="D20" s="8">
        <v>3900000</v>
      </c>
      <c r="E20">
        <v>2340000</v>
      </c>
      <c r="F20">
        <v>1560000</v>
      </c>
      <c r="G20" s="1">
        <v>45979</v>
      </c>
      <c r="H20" s="7">
        <f>Table1[[#This Row],[Profit]]/Table1[[#This Row],[Revenue]] *100</f>
        <v>40</v>
      </c>
    </row>
    <row r="21" spans="1:8" x14ac:dyDescent="0.2">
      <c r="A21" t="s">
        <v>20</v>
      </c>
      <c r="B21" t="s">
        <v>12</v>
      </c>
      <c r="C21">
        <v>1383</v>
      </c>
      <c r="D21" s="8">
        <v>1659600</v>
      </c>
      <c r="E21">
        <v>1175550</v>
      </c>
      <c r="F21">
        <v>484050</v>
      </c>
      <c r="G21" s="1">
        <v>46072</v>
      </c>
      <c r="H21" s="7">
        <f>Table1[[#This Row],[Profit]]/Table1[[#This Row],[Revenue]] *100</f>
        <v>29.166666666666668</v>
      </c>
    </row>
    <row r="22" spans="1:8" x14ac:dyDescent="0.2">
      <c r="A22" t="s">
        <v>13</v>
      </c>
      <c r="B22" t="s">
        <v>10</v>
      </c>
      <c r="C22">
        <v>147</v>
      </c>
      <c r="D22" s="8">
        <v>514500</v>
      </c>
      <c r="E22">
        <v>382200</v>
      </c>
      <c r="F22">
        <v>132300</v>
      </c>
      <c r="G22" s="1">
        <v>45876</v>
      </c>
      <c r="H22" s="7">
        <f>Table1[[#This Row],[Profit]]/Table1[[#This Row],[Revenue]] *100</f>
        <v>25.714285714285712</v>
      </c>
    </row>
    <row r="23" spans="1:8" x14ac:dyDescent="0.2">
      <c r="A23" t="s">
        <v>21</v>
      </c>
      <c r="B23" t="s">
        <v>8</v>
      </c>
      <c r="C23">
        <v>104</v>
      </c>
      <c r="D23" s="8">
        <v>312000</v>
      </c>
      <c r="E23">
        <v>187200</v>
      </c>
      <c r="F23">
        <v>124800</v>
      </c>
      <c r="G23" s="1">
        <v>45880</v>
      </c>
      <c r="H23" s="7">
        <f>Table1[[#This Row],[Profit]]/Table1[[#This Row],[Revenue]] *100</f>
        <v>40</v>
      </c>
    </row>
    <row r="24" spans="1:8" x14ac:dyDescent="0.2">
      <c r="A24" t="s">
        <v>15</v>
      </c>
      <c r="B24" t="s">
        <v>14</v>
      </c>
      <c r="C24">
        <v>2720</v>
      </c>
      <c r="D24" s="8">
        <v>3264000</v>
      </c>
      <c r="E24">
        <v>2176000</v>
      </c>
      <c r="F24">
        <v>1088000</v>
      </c>
      <c r="G24" s="1">
        <v>45780</v>
      </c>
      <c r="H24" s="7">
        <f>Table1[[#This Row],[Profit]]/Table1[[#This Row],[Revenue]] *100</f>
        <v>33.333333333333329</v>
      </c>
    </row>
    <row r="25" spans="1:8" x14ac:dyDescent="0.2">
      <c r="A25" t="s">
        <v>18</v>
      </c>
      <c r="B25" t="s">
        <v>17</v>
      </c>
      <c r="C25">
        <v>2761</v>
      </c>
      <c r="D25" s="8">
        <v>41415000</v>
      </c>
      <c r="E25">
        <v>30371000</v>
      </c>
      <c r="F25">
        <v>11044000</v>
      </c>
      <c r="G25" s="1">
        <v>46262</v>
      </c>
      <c r="H25" s="7">
        <f>Table1[[#This Row],[Profit]]/Table1[[#This Row],[Revenue]] *100</f>
        <v>26.666666666666668</v>
      </c>
    </row>
    <row r="26" spans="1:8" x14ac:dyDescent="0.2">
      <c r="A26" t="s">
        <v>22</v>
      </c>
      <c r="B26" t="s">
        <v>19</v>
      </c>
      <c r="C26">
        <v>807</v>
      </c>
      <c r="D26" s="8">
        <v>36315000</v>
      </c>
      <c r="E26">
        <v>30666000</v>
      </c>
      <c r="F26">
        <v>5649000</v>
      </c>
      <c r="G26" s="1">
        <v>45785</v>
      </c>
      <c r="H26" s="7">
        <f>Table1[[#This Row],[Profit]]/Table1[[#This Row],[Revenue]] *100</f>
        <v>15.555555555555555</v>
      </c>
    </row>
    <row r="27" spans="1:8" x14ac:dyDescent="0.2">
      <c r="A27" t="s">
        <v>21</v>
      </c>
      <c r="B27" t="s">
        <v>23</v>
      </c>
      <c r="C27">
        <v>455</v>
      </c>
      <c r="D27" s="8">
        <v>2275000</v>
      </c>
      <c r="E27">
        <v>1911000</v>
      </c>
      <c r="F27">
        <v>364000</v>
      </c>
      <c r="G27" s="1">
        <v>45310</v>
      </c>
      <c r="H27" s="7">
        <f>Table1[[#This Row],[Profit]]/Table1[[#This Row],[Revenue]] *100</f>
        <v>16</v>
      </c>
    </row>
    <row r="28" spans="1:8" x14ac:dyDescent="0.2">
      <c r="A28" t="s">
        <v>15</v>
      </c>
      <c r="B28" t="s">
        <v>23</v>
      </c>
      <c r="C28">
        <v>2166</v>
      </c>
      <c r="D28" s="8">
        <v>10830000</v>
      </c>
      <c r="E28">
        <v>9097200</v>
      </c>
      <c r="F28">
        <v>1732800</v>
      </c>
      <c r="G28" s="1">
        <v>45688</v>
      </c>
      <c r="H28" s="7">
        <f>Table1[[#This Row],[Profit]]/Table1[[#This Row],[Revenue]] *100</f>
        <v>16</v>
      </c>
    </row>
    <row r="29" spans="1:8" x14ac:dyDescent="0.2">
      <c r="A29" t="s">
        <v>16</v>
      </c>
      <c r="B29" t="s">
        <v>12</v>
      </c>
      <c r="C29">
        <v>1362</v>
      </c>
      <c r="D29" s="8">
        <v>1634400</v>
      </c>
      <c r="E29">
        <v>1157700</v>
      </c>
      <c r="F29">
        <v>476700</v>
      </c>
      <c r="G29" s="1">
        <v>46292</v>
      </c>
      <c r="H29" s="7">
        <f>Table1[[#This Row],[Profit]]/Table1[[#This Row],[Revenue]] *100</f>
        <v>29.166666666666668</v>
      </c>
    </row>
    <row r="30" spans="1:8" x14ac:dyDescent="0.2">
      <c r="A30" t="s">
        <v>7</v>
      </c>
      <c r="B30" t="s">
        <v>14</v>
      </c>
      <c r="C30">
        <v>1835</v>
      </c>
      <c r="D30" s="8">
        <v>2202000</v>
      </c>
      <c r="E30">
        <v>1468000</v>
      </c>
      <c r="F30">
        <v>734000</v>
      </c>
      <c r="G30" s="1">
        <v>46142</v>
      </c>
      <c r="H30" s="7">
        <f>Table1[[#This Row],[Profit]]/Table1[[#This Row],[Revenue]] *100</f>
        <v>33.333333333333329</v>
      </c>
    </row>
    <row r="31" spans="1:8" x14ac:dyDescent="0.2">
      <c r="A31" t="s">
        <v>9</v>
      </c>
      <c r="B31" t="s">
        <v>19</v>
      </c>
      <c r="C31">
        <v>800</v>
      </c>
      <c r="D31" s="8">
        <v>36000000</v>
      </c>
      <c r="E31">
        <v>30400000</v>
      </c>
      <c r="F31">
        <v>5600000</v>
      </c>
      <c r="G31" s="1">
        <v>46113</v>
      </c>
      <c r="H31" s="7">
        <f>Table1[[#This Row],[Profit]]/Table1[[#This Row],[Revenue]] *100</f>
        <v>15.555555555555555</v>
      </c>
    </row>
    <row r="32" spans="1:8" x14ac:dyDescent="0.2">
      <c r="A32" t="s">
        <v>22</v>
      </c>
      <c r="B32" t="s">
        <v>14</v>
      </c>
      <c r="C32">
        <v>1812</v>
      </c>
      <c r="D32" s="8">
        <v>2174400</v>
      </c>
      <c r="E32">
        <v>1449600</v>
      </c>
      <c r="F32">
        <v>724800</v>
      </c>
      <c r="G32" s="1">
        <v>45746</v>
      </c>
      <c r="H32" s="7">
        <f>Table1[[#This Row],[Profit]]/Table1[[#This Row],[Revenue]] *100</f>
        <v>33.333333333333329</v>
      </c>
    </row>
    <row r="33" spans="1:8" x14ac:dyDescent="0.2">
      <c r="A33" t="s">
        <v>16</v>
      </c>
      <c r="B33" t="s">
        <v>19</v>
      </c>
      <c r="C33">
        <v>414</v>
      </c>
      <c r="D33" s="8">
        <v>18630000</v>
      </c>
      <c r="E33">
        <v>15732000</v>
      </c>
      <c r="F33">
        <v>2898000</v>
      </c>
      <c r="G33" s="1">
        <v>46016</v>
      </c>
      <c r="H33" s="7">
        <f>Table1[[#This Row],[Profit]]/Table1[[#This Row],[Revenue]] *100</f>
        <v>15.555555555555555</v>
      </c>
    </row>
    <row r="34" spans="1:8" x14ac:dyDescent="0.2">
      <c r="A34" t="s">
        <v>13</v>
      </c>
      <c r="B34" t="s">
        <v>12</v>
      </c>
      <c r="C34">
        <v>2076</v>
      </c>
      <c r="D34" s="8">
        <v>2491200</v>
      </c>
      <c r="E34">
        <v>1764600</v>
      </c>
      <c r="F34">
        <v>726600</v>
      </c>
      <c r="G34" s="1">
        <v>46380</v>
      </c>
      <c r="H34" s="7">
        <f>Table1[[#This Row],[Profit]]/Table1[[#This Row],[Revenue]] *100</f>
        <v>29.166666666666668</v>
      </c>
    </row>
    <row r="35" spans="1:8" x14ac:dyDescent="0.2">
      <c r="A35" t="s">
        <v>16</v>
      </c>
      <c r="B35" t="s">
        <v>12</v>
      </c>
      <c r="C35">
        <v>531</v>
      </c>
      <c r="D35" s="8">
        <v>637200</v>
      </c>
      <c r="E35">
        <v>451350</v>
      </c>
      <c r="F35">
        <v>185850</v>
      </c>
      <c r="G35" s="1">
        <v>46002</v>
      </c>
      <c r="H35" s="7">
        <f>Table1[[#This Row],[Profit]]/Table1[[#This Row],[Revenue]] *100</f>
        <v>29.166666666666668</v>
      </c>
    </row>
    <row r="36" spans="1:8" x14ac:dyDescent="0.2">
      <c r="A36" t="s">
        <v>7</v>
      </c>
      <c r="B36" t="s">
        <v>23</v>
      </c>
      <c r="C36">
        <v>2298</v>
      </c>
      <c r="D36" s="8">
        <v>11490000</v>
      </c>
      <c r="E36">
        <v>9651600</v>
      </c>
      <c r="F36">
        <v>1838400</v>
      </c>
      <c r="G36" s="1">
        <v>45434</v>
      </c>
      <c r="H36" s="7">
        <f>Table1[[#This Row],[Profit]]/Table1[[#This Row],[Revenue]] *100</f>
        <v>16</v>
      </c>
    </row>
    <row r="37" spans="1:8" x14ac:dyDescent="0.2">
      <c r="A37" t="s">
        <v>13</v>
      </c>
      <c r="B37" t="s">
        <v>14</v>
      </c>
      <c r="C37">
        <v>203</v>
      </c>
      <c r="D37" s="8">
        <v>243600</v>
      </c>
      <c r="E37">
        <v>162400</v>
      </c>
      <c r="F37">
        <v>81200</v>
      </c>
      <c r="G37" s="1">
        <v>46208</v>
      </c>
      <c r="H37" s="7">
        <f>Table1[[#This Row],[Profit]]/Table1[[#This Row],[Revenue]] *100</f>
        <v>33.333333333333329</v>
      </c>
    </row>
    <row r="38" spans="1:8" x14ac:dyDescent="0.2">
      <c r="A38" t="s">
        <v>22</v>
      </c>
      <c r="B38" t="s">
        <v>10</v>
      </c>
      <c r="C38">
        <v>1574</v>
      </c>
      <c r="D38" s="8">
        <v>5509000</v>
      </c>
      <c r="E38">
        <v>4092400</v>
      </c>
      <c r="F38">
        <v>1416600</v>
      </c>
      <c r="G38" s="1">
        <v>46119</v>
      </c>
      <c r="H38" s="7">
        <f>Table1[[#This Row],[Profit]]/Table1[[#This Row],[Revenue]] *100</f>
        <v>25.714285714285712</v>
      </c>
    </row>
    <row r="39" spans="1:8" x14ac:dyDescent="0.2">
      <c r="A39" t="s">
        <v>7</v>
      </c>
      <c r="B39" t="s">
        <v>23</v>
      </c>
      <c r="C39">
        <v>2170</v>
      </c>
      <c r="D39" s="8">
        <v>10850000</v>
      </c>
      <c r="E39">
        <v>9114000</v>
      </c>
      <c r="F39">
        <v>1736000</v>
      </c>
      <c r="G39" s="1">
        <v>45896</v>
      </c>
      <c r="H39" s="7">
        <f>Table1[[#This Row],[Profit]]/Table1[[#This Row],[Revenue]] *100</f>
        <v>16</v>
      </c>
    </row>
    <row r="40" spans="1:8" x14ac:dyDescent="0.2">
      <c r="A40" t="s">
        <v>20</v>
      </c>
      <c r="B40" t="s">
        <v>14</v>
      </c>
      <c r="C40">
        <v>2810</v>
      </c>
      <c r="D40" s="8">
        <v>3372000</v>
      </c>
      <c r="E40">
        <v>2248000</v>
      </c>
      <c r="F40">
        <v>1124000</v>
      </c>
      <c r="G40" s="1">
        <v>45596</v>
      </c>
      <c r="H40" s="7">
        <f>Table1[[#This Row],[Profit]]/Table1[[#This Row],[Revenue]] *100</f>
        <v>33.333333333333329</v>
      </c>
    </row>
    <row r="41" spans="1:8" x14ac:dyDescent="0.2">
      <c r="A41" t="s">
        <v>9</v>
      </c>
      <c r="B41" t="s">
        <v>23</v>
      </c>
      <c r="C41">
        <v>2393</v>
      </c>
      <c r="D41" s="8">
        <v>11965000</v>
      </c>
      <c r="E41">
        <v>10050600</v>
      </c>
      <c r="F41">
        <v>1914400</v>
      </c>
      <c r="G41" s="1">
        <v>46027</v>
      </c>
      <c r="H41" s="7">
        <f>Table1[[#This Row],[Profit]]/Table1[[#This Row],[Revenue]] *100</f>
        <v>16</v>
      </c>
    </row>
    <row r="42" spans="1:8" x14ac:dyDescent="0.2">
      <c r="A42" t="s">
        <v>22</v>
      </c>
      <c r="B42" t="s">
        <v>10</v>
      </c>
      <c r="C42">
        <v>1090</v>
      </c>
      <c r="D42" s="8">
        <v>3815000</v>
      </c>
      <c r="E42">
        <v>2834000</v>
      </c>
      <c r="F42">
        <v>981000</v>
      </c>
      <c r="G42" s="1">
        <v>45582</v>
      </c>
      <c r="H42" s="7">
        <f>Table1[[#This Row],[Profit]]/Table1[[#This Row],[Revenue]] *100</f>
        <v>25.714285714285712</v>
      </c>
    </row>
    <row r="43" spans="1:8" x14ac:dyDescent="0.2">
      <c r="A43" t="s">
        <v>20</v>
      </c>
      <c r="B43" t="s">
        <v>17</v>
      </c>
      <c r="C43">
        <v>1714</v>
      </c>
      <c r="D43" s="8">
        <v>25710000</v>
      </c>
      <c r="E43">
        <v>18854000</v>
      </c>
      <c r="F43">
        <v>6856000</v>
      </c>
      <c r="G43" s="1">
        <v>45393</v>
      </c>
      <c r="H43" s="7">
        <f>Table1[[#This Row],[Profit]]/Table1[[#This Row],[Revenue]] *100</f>
        <v>26.666666666666668</v>
      </c>
    </row>
    <row r="44" spans="1:8" x14ac:dyDescent="0.2">
      <c r="A44" t="s">
        <v>15</v>
      </c>
      <c r="B44" t="s">
        <v>17</v>
      </c>
      <c r="C44">
        <v>1290</v>
      </c>
      <c r="D44" s="8">
        <v>19350000</v>
      </c>
      <c r="E44">
        <v>14190000</v>
      </c>
      <c r="F44">
        <v>5160000</v>
      </c>
      <c r="G44" s="1">
        <v>46158</v>
      </c>
      <c r="H44" s="7">
        <f>Table1[[#This Row],[Profit]]/Table1[[#This Row],[Revenue]] *100</f>
        <v>26.666666666666668</v>
      </c>
    </row>
    <row r="45" spans="1:8" x14ac:dyDescent="0.2">
      <c r="A45" t="s">
        <v>22</v>
      </c>
      <c r="B45" t="s">
        <v>17</v>
      </c>
      <c r="C45">
        <v>110</v>
      </c>
      <c r="D45" s="8">
        <v>1650000</v>
      </c>
      <c r="E45">
        <v>1210000</v>
      </c>
      <c r="F45">
        <v>440000</v>
      </c>
      <c r="G45" s="1">
        <v>46259</v>
      </c>
      <c r="H45" s="7">
        <f>Table1[[#This Row],[Profit]]/Table1[[#This Row],[Revenue]] *100</f>
        <v>26.666666666666668</v>
      </c>
    </row>
    <row r="46" spans="1:8" x14ac:dyDescent="0.2">
      <c r="A46" t="s">
        <v>15</v>
      </c>
      <c r="B46" t="s">
        <v>17</v>
      </c>
      <c r="C46">
        <v>988</v>
      </c>
      <c r="D46" s="8">
        <v>14820000</v>
      </c>
      <c r="E46">
        <v>10868000</v>
      </c>
      <c r="F46">
        <v>3952000</v>
      </c>
      <c r="G46" s="1">
        <v>46265</v>
      </c>
      <c r="H46" s="7">
        <f>Table1[[#This Row],[Profit]]/Table1[[#This Row],[Revenue]] *100</f>
        <v>26.666666666666668</v>
      </c>
    </row>
    <row r="47" spans="1:8" x14ac:dyDescent="0.2">
      <c r="A47" t="s">
        <v>13</v>
      </c>
      <c r="B47" t="s">
        <v>8</v>
      </c>
      <c r="C47">
        <v>1689</v>
      </c>
      <c r="D47" s="8">
        <v>5067000</v>
      </c>
      <c r="E47">
        <v>3040200</v>
      </c>
      <c r="F47">
        <v>2026800</v>
      </c>
      <c r="G47" s="1">
        <v>46133</v>
      </c>
      <c r="H47" s="7">
        <f>Table1[[#This Row],[Profit]]/Table1[[#This Row],[Revenue]] *100</f>
        <v>40</v>
      </c>
    </row>
    <row r="48" spans="1:8" x14ac:dyDescent="0.2">
      <c r="A48" t="s">
        <v>20</v>
      </c>
      <c r="B48" t="s">
        <v>19</v>
      </c>
      <c r="C48">
        <v>2139</v>
      </c>
      <c r="D48" s="8">
        <v>96255000</v>
      </c>
      <c r="E48">
        <v>81282000</v>
      </c>
      <c r="F48">
        <v>14973000</v>
      </c>
      <c r="G48" s="1">
        <v>46253</v>
      </c>
      <c r="H48" s="7">
        <f>Table1[[#This Row],[Profit]]/Table1[[#This Row],[Revenue]] *100</f>
        <v>15.555555555555555</v>
      </c>
    </row>
    <row r="49" spans="1:8" x14ac:dyDescent="0.2">
      <c r="A49" t="s">
        <v>9</v>
      </c>
      <c r="B49" t="s">
        <v>8</v>
      </c>
      <c r="C49">
        <v>74</v>
      </c>
      <c r="D49" s="8">
        <v>222000</v>
      </c>
      <c r="E49">
        <v>133200</v>
      </c>
      <c r="F49">
        <v>88800</v>
      </c>
      <c r="G49" s="1">
        <v>46233</v>
      </c>
      <c r="H49" s="7">
        <f>Table1[[#This Row],[Profit]]/Table1[[#This Row],[Revenue]] *100</f>
        <v>40</v>
      </c>
    </row>
    <row r="50" spans="1:8" x14ac:dyDescent="0.2">
      <c r="A50" t="s">
        <v>7</v>
      </c>
      <c r="B50" t="s">
        <v>8</v>
      </c>
      <c r="C50">
        <v>1112</v>
      </c>
      <c r="D50" s="8">
        <v>3336000</v>
      </c>
      <c r="E50">
        <v>2001600</v>
      </c>
      <c r="F50">
        <v>1334400</v>
      </c>
      <c r="G50" s="1">
        <v>46318</v>
      </c>
      <c r="H50" s="7">
        <f>Table1[[#This Row],[Profit]]/Table1[[#This Row],[Revenue]] *100</f>
        <v>40</v>
      </c>
    </row>
    <row r="51" spans="1:8" x14ac:dyDescent="0.2">
      <c r="A51" t="s">
        <v>11</v>
      </c>
      <c r="B51" t="s">
        <v>8</v>
      </c>
      <c r="C51">
        <v>180</v>
      </c>
      <c r="D51" s="8">
        <v>540000</v>
      </c>
      <c r="E51">
        <v>324000</v>
      </c>
      <c r="F51">
        <v>216000</v>
      </c>
      <c r="G51" s="1">
        <v>45376</v>
      </c>
      <c r="H51" s="7">
        <f>Table1[[#This Row],[Profit]]/Table1[[#This Row],[Revenue]] *100</f>
        <v>40</v>
      </c>
    </row>
    <row r="52" spans="1:8" x14ac:dyDescent="0.2">
      <c r="A52" t="s">
        <v>16</v>
      </c>
      <c r="B52" t="s">
        <v>17</v>
      </c>
      <c r="C52">
        <v>1302</v>
      </c>
      <c r="D52" s="8">
        <v>19530000</v>
      </c>
      <c r="E52">
        <v>14322000</v>
      </c>
      <c r="F52">
        <v>5208000</v>
      </c>
      <c r="G52" s="1">
        <v>45619</v>
      </c>
      <c r="H52" s="7">
        <f>Table1[[#This Row],[Profit]]/Table1[[#This Row],[Revenue]] *100</f>
        <v>26.666666666666668</v>
      </c>
    </row>
    <row r="53" spans="1:8" x14ac:dyDescent="0.2">
      <c r="A53" t="s">
        <v>21</v>
      </c>
      <c r="B53" t="s">
        <v>10</v>
      </c>
      <c r="C53">
        <v>157</v>
      </c>
      <c r="D53" s="8">
        <v>549500</v>
      </c>
      <c r="E53">
        <v>408200</v>
      </c>
      <c r="F53">
        <v>141300</v>
      </c>
      <c r="G53" s="1">
        <v>46107</v>
      </c>
      <c r="H53" s="7">
        <f>Table1[[#This Row],[Profit]]/Table1[[#This Row],[Revenue]] *100</f>
        <v>25.714285714285712</v>
      </c>
    </row>
    <row r="54" spans="1:8" x14ac:dyDescent="0.2">
      <c r="A54" t="s">
        <v>9</v>
      </c>
      <c r="B54" t="s">
        <v>12</v>
      </c>
      <c r="C54">
        <v>221</v>
      </c>
      <c r="D54" s="8">
        <v>265200</v>
      </c>
      <c r="E54">
        <v>187850</v>
      </c>
      <c r="F54">
        <v>77350</v>
      </c>
      <c r="G54" s="1">
        <v>45745</v>
      </c>
      <c r="H54" s="7">
        <f>Table1[[#This Row],[Profit]]/Table1[[#This Row],[Revenue]] *100</f>
        <v>29.166666666666668</v>
      </c>
    </row>
    <row r="55" spans="1:8" x14ac:dyDescent="0.2">
      <c r="A55" t="s">
        <v>20</v>
      </c>
      <c r="B55" t="s">
        <v>12</v>
      </c>
      <c r="C55">
        <v>1508</v>
      </c>
      <c r="D55" s="8">
        <v>1809600</v>
      </c>
      <c r="E55">
        <v>1281800</v>
      </c>
      <c r="F55">
        <v>527800</v>
      </c>
      <c r="G55" s="1">
        <v>45920</v>
      </c>
      <c r="H55" s="7">
        <f>Table1[[#This Row],[Profit]]/Table1[[#This Row],[Revenue]] *100</f>
        <v>29.166666666666668</v>
      </c>
    </row>
    <row r="56" spans="1:8" x14ac:dyDescent="0.2">
      <c r="A56" t="s">
        <v>11</v>
      </c>
      <c r="B56" t="s">
        <v>19</v>
      </c>
      <c r="C56">
        <v>151</v>
      </c>
      <c r="D56" s="8">
        <v>6795000</v>
      </c>
      <c r="E56">
        <v>5738000</v>
      </c>
      <c r="F56">
        <v>1057000</v>
      </c>
      <c r="G56" s="1">
        <v>45956</v>
      </c>
      <c r="H56" s="7">
        <f>Table1[[#This Row],[Profit]]/Table1[[#This Row],[Revenue]] *100</f>
        <v>15.555555555555555</v>
      </c>
    </row>
    <row r="57" spans="1:8" x14ac:dyDescent="0.2">
      <c r="A57" t="s">
        <v>9</v>
      </c>
      <c r="B57" t="s">
        <v>17</v>
      </c>
      <c r="C57">
        <v>2963</v>
      </c>
      <c r="D57" s="8">
        <v>44445000</v>
      </c>
      <c r="E57">
        <v>32593000</v>
      </c>
      <c r="F57">
        <v>11852000</v>
      </c>
      <c r="G57" s="1">
        <v>45303</v>
      </c>
      <c r="H57" s="7">
        <f>Table1[[#This Row],[Profit]]/Table1[[#This Row],[Revenue]] *100</f>
        <v>26.666666666666668</v>
      </c>
    </row>
    <row r="58" spans="1:8" x14ac:dyDescent="0.2">
      <c r="A58" t="s">
        <v>20</v>
      </c>
      <c r="B58" t="s">
        <v>17</v>
      </c>
      <c r="C58">
        <v>2621</v>
      </c>
      <c r="D58" s="8">
        <v>39315000</v>
      </c>
      <c r="E58">
        <v>28831000</v>
      </c>
      <c r="F58">
        <v>10484000</v>
      </c>
      <c r="G58" s="1">
        <v>45595</v>
      </c>
      <c r="H58" s="7">
        <f>Table1[[#This Row],[Profit]]/Table1[[#This Row],[Revenue]] *100</f>
        <v>26.666666666666668</v>
      </c>
    </row>
    <row r="59" spans="1:8" x14ac:dyDescent="0.2">
      <c r="A59" t="s">
        <v>18</v>
      </c>
      <c r="B59" t="s">
        <v>17</v>
      </c>
      <c r="C59">
        <v>2372</v>
      </c>
      <c r="D59" s="8">
        <v>35580000</v>
      </c>
      <c r="E59">
        <v>26092000</v>
      </c>
      <c r="F59">
        <v>9488000</v>
      </c>
      <c r="G59" s="1">
        <v>46266</v>
      </c>
      <c r="H59" s="7">
        <f>Table1[[#This Row],[Profit]]/Table1[[#This Row],[Revenue]] *100</f>
        <v>26.666666666666668</v>
      </c>
    </row>
    <row r="60" spans="1:8" x14ac:dyDescent="0.2">
      <c r="A60" t="s">
        <v>18</v>
      </c>
      <c r="B60" t="s">
        <v>23</v>
      </c>
      <c r="C60">
        <v>1686</v>
      </c>
      <c r="D60" s="8">
        <v>8430000</v>
      </c>
      <c r="E60">
        <v>7081200</v>
      </c>
      <c r="F60">
        <v>1348800</v>
      </c>
      <c r="G60" s="1">
        <v>46074</v>
      </c>
      <c r="H60" s="7">
        <f>Table1[[#This Row],[Profit]]/Table1[[#This Row],[Revenue]] *100</f>
        <v>16</v>
      </c>
    </row>
    <row r="61" spans="1:8" x14ac:dyDescent="0.2">
      <c r="A61" t="s">
        <v>15</v>
      </c>
      <c r="B61" t="s">
        <v>14</v>
      </c>
      <c r="C61">
        <v>2914</v>
      </c>
      <c r="D61" s="8">
        <v>3496800</v>
      </c>
      <c r="E61">
        <v>2331200</v>
      </c>
      <c r="F61">
        <v>1165600</v>
      </c>
      <c r="G61" s="1">
        <v>45334</v>
      </c>
      <c r="H61" s="7">
        <f>Table1[[#This Row],[Profit]]/Table1[[#This Row],[Revenue]] *100</f>
        <v>33.333333333333329</v>
      </c>
    </row>
    <row r="62" spans="1:8" x14ac:dyDescent="0.2">
      <c r="A62" t="s">
        <v>9</v>
      </c>
      <c r="B62" t="s">
        <v>23</v>
      </c>
      <c r="C62">
        <v>1090</v>
      </c>
      <c r="D62" s="8">
        <v>5450000</v>
      </c>
      <c r="E62">
        <v>4578000</v>
      </c>
      <c r="F62">
        <v>872000</v>
      </c>
      <c r="G62" s="1">
        <v>46235</v>
      </c>
      <c r="H62" s="7">
        <f>Table1[[#This Row],[Profit]]/Table1[[#This Row],[Revenue]] *100</f>
        <v>16</v>
      </c>
    </row>
    <row r="63" spans="1:8" x14ac:dyDescent="0.2">
      <c r="A63" t="s">
        <v>18</v>
      </c>
      <c r="B63" t="s">
        <v>14</v>
      </c>
      <c r="C63">
        <v>379</v>
      </c>
      <c r="D63" s="8">
        <v>454800</v>
      </c>
      <c r="E63">
        <v>303200</v>
      </c>
      <c r="F63">
        <v>151600</v>
      </c>
      <c r="G63" s="1">
        <v>45634</v>
      </c>
      <c r="H63" s="7">
        <f>Table1[[#This Row],[Profit]]/Table1[[#This Row],[Revenue]] *100</f>
        <v>33.333333333333329</v>
      </c>
    </row>
    <row r="64" spans="1:8" x14ac:dyDescent="0.2">
      <c r="A64" t="s">
        <v>20</v>
      </c>
      <c r="B64" t="s">
        <v>17</v>
      </c>
      <c r="C64">
        <v>1570</v>
      </c>
      <c r="D64" s="8">
        <v>23550000</v>
      </c>
      <c r="E64">
        <v>17270000</v>
      </c>
      <c r="F64">
        <v>6280000</v>
      </c>
      <c r="G64" s="1">
        <v>45789</v>
      </c>
      <c r="H64" s="7">
        <f>Table1[[#This Row],[Profit]]/Table1[[#This Row],[Revenue]] *100</f>
        <v>26.666666666666668</v>
      </c>
    </row>
    <row r="65" spans="1:8" x14ac:dyDescent="0.2">
      <c r="A65" t="s">
        <v>15</v>
      </c>
      <c r="B65" t="s">
        <v>17</v>
      </c>
      <c r="C65">
        <v>61</v>
      </c>
      <c r="D65" s="8">
        <v>915000</v>
      </c>
      <c r="E65">
        <v>671000</v>
      </c>
      <c r="F65">
        <v>244000</v>
      </c>
      <c r="G65" s="1">
        <v>45655</v>
      </c>
      <c r="H65" s="7">
        <f>Table1[[#This Row],[Profit]]/Table1[[#This Row],[Revenue]] *100</f>
        <v>26.666666666666668</v>
      </c>
    </row>
    <row r="66" spans="1:8" x14ac:dyDescent="0.2">
      <c r="A66" t="s">
        <v>20</v>
      </c>
      <c r="B66" t="s">
        <v>23</v>
      </c>
      <c r="C66">
        <v>1391</v>
      </c>
      <c r="D66" s="8">
        <v>6955000</v>
      </c>
      <c r="E66">
        <v>5842200</v>
      </c>
      <c r="F66">
        <v>1112800</v>
      </c>
      <c r="G66" s="1">
        <v>46182</v>
      </c>
      <c r="H66" s="7">
        <f>Table1[[#This Row],[Profit]]/Table1[[#This Row],[Revenue]] *100</f>
        <v>16</v>
      </c>
    </row>
    <row r="67" spans="1:8" x14ac:dyDescent="0.2">
      <c r="A67" t="s">
        <v>15</v>
      </c>
      <c r="B67" t="s">
        <v>23</v>
      </c>
      <c r="C67">
        <v>265</v>
      </c>
      <c r="D67" s="8">
        <v>1325000</v>
      </c>
      <c r="E67">
        <v>1113000</v>
      </c>
      <c r="F67">
        <v>212000</v>
      </c>
      <c r="G67" s="1">
        <v>45718</v>
      </c>
      <c r="H67" s="7">
        <f>Table1[[#This Row],[Profit]]/Table1[[#This Row],[Revenue]] *100</f>
        <v>16</v>
      </c>
    </row>
    <row r="68" spans="1:8" x14ac:dyDescent="0.2">
      <c r="A68" t="s">
        <v>9</v>
      </c>
      <c r="B68" t="s">
        <v>14</v>
      </c>
      <c r="C68">
        <v>388</v>
      </c>
      <c r="D68" s="8">
        <v>465600</v>
      </c>
      <c r="E68">
        <v>310400</v>
      </c>
      <c r="F68">
        <v>155200</v>
      </c>
      <c r="G68" s="1">
        <v>46296</v>
      </c>
      <c r="H68" s="7">
        <f>Table1[[#This Row],[Profit]]/Table1[[#This Row],[Revenue]] *100</f>
        <v>33.333333333333329</v>
      </c>
    </row>
    <row r="69" spans="1:8" x14ac:dyDescent="0.2">
      <c r="A69" t="s">
        <v>11</v>
      </c>
      <c r="B69" t="s">
        <v>12</v>
      </c>
      <c r="C69">
        <v>1849</v>
      </c>
      <c r="D69" s="8">
        <v>2218800</v>
      </c>
      <c r="E69">
        <v>1571650</v>
      </c>
      <c r="F69">
        <v>647150</v>
      </c>
      <c r="G69" s="1">
        <v>45312</v>
      </c>
      <c r="H69" s="7">
        <f>Table1[[#This Row],[Profit]]/Table1[[#This Row],[Revenue]] *100</f>
        <v>29.166666666666668</v>
      </c>
    </row>
    <row r="70" spans="1:8" x14ac:dyDescent="0.2">
      <c r="A70" t="s">
        <v>7</v>
      </c>
      <c r="B70" t="s">
        <v>14</v>
      </c>
      <c r="C70">
        <v>2758</v>
      </c>
      <c r="D70" s="8">
        <v>3309600</v>
      </c>
      <c r="E70">
        <v>2206400</v>
      </c>
      <c r="F70">
        <v>1103200</v>
      </c>
      <c r="G70" s="1">
        <v>45698</v>
      </c>
      <c r="H70" s="7">
        <f>Table1[[#This Row],[Profit]]/Table1[[#This Row],[Revenue]] *100</f>
        <v>33.333333333333329</v>
      </c>
    </row>
    <row r="71" spans="1:8" x14ac:dyDescent="0.2">
      <c r="A71" t="s">
        <v>22</v>
      </c>
      <c r="B71" t="s">
        <v>23</v>
      </c>
      <c r="C71">
        <v>1800</v>
      </c>
      <c r="D71" s="8">
        <v>9000000</v>
      </c>
      <c r="E71">
        <v>7560000</v>
      </c>
      <c r="F71">
        <v>1440000</v>
      </c>
      <c r="G71" s="1">
        <v>45910</v>
      </c>
      <c r="H71" s="7">
        <f>Table1[[#This Row],[Profit]]/Table1[[#This Row],[Revenue]] *100</f>
        <v>16</v>
      </c>
    </row>
    <row r="72" spans="1:8" x14ac:dyDescent="0.2">
      <c r="A72" t="s">
        <v>11</v>
      </c>
      <c r="B72" t="s">
        <v>10</v>
      </c>
      <c r="C72">
        <v>1558</v>
      </c>
      <c r="D72" s="8">
        <v>5453000</v>
      </c>
      <c r="E72">
        <v>4050800</v>
      </c>
      <c r="F72">
        <v>1402200</v>
      </c>
      <c r="G72" s="1">
        <v>46306</v>
      </c>
      <c r="H72" s="7">
        <f>Table1[[#This Row],[Profit]]/Table1[[#This Row],[Revenue]] *100</f>
        <v>25.714285714285712</v>
      </c>
    </row>
    <row r="73" spans="1:8" x14ac:dyDescent="0.2">
      <c r="A73" t="s">
        <v>13</v>
      </c>
      <c r="B73" t="s">
        <v>23</v>
      </c>
      <c r="C73">
        <v>2471</v>
      </c>
      <c r="D73" s="8">
        <v>12355000</v>
      </c>
      <c r="E73">
        <v>10378200</v>
      </c>
      <c r="F73">
        <v>1976800</v>
      </c>
      <c r="G73" s="1">
        <v>45627</v>
      </c>
      <c r="H73" s="7">
        <f>Table1[[#This Row],[Profit]]/Table1[[#This Row],[Revenue]] *100</f>
        <v>16</v>
      </c>
    </row>
    <row r="74" spans="1:8" x14ac:dyDescent="0.2">
      <c r="A74" t="s">
        <v>20</v>
      </c>
      <c r="B74" t="s">
        <v>10</v>
      </c>
      <c r="C74">
        <v>759</v>
      </c>
      <c r="D74" s="8">
        <v>2656500</v>
      </c>
      <c r="E74">
        <v>1973400</v>
      </c>
      <c r="F74">
        <v>683100</v>
      </c>
      <c r="G74" s="1">
        <v>45690</v>
      </c>
      <c r="H74" s="7">
        <f>Table1[[#This Row],[Profit]]/Table1[[#This Row],[Revenue]] *100</f>
        <v>25.714285714285712</v>
      </c>
    </row>
    <row r="75" spans="1:8" x14ac:dyDescent="0.2">
      <c r="A75" t="s">
        <v>13</v>
      </c>
      <c r="B75" t="s">
        <v>19</v>
      </c>
      <c r="C75">
        <v>1273</v>
      </c>
      <c r="D75" s="8">
        <v>57285000</v>
      </c>
      <c r="E75">
        <v>48374000</v>
      </c>
      <c r="F75">
        <v>8911000</v>
      </c>
      <c r="G75" s="1">
        <v>46084</v>
      </c>
      <c r="H75" s="7">
        <f>Table1[[#This Row],[Profit]]/Table1[[#This Row],[Revenue]] *100</f>
        <v>15.555555555555555</v>
      </c>
    </row>
    <row r="76" spans="1:8" x14ac:dyDescent="0.2">
      <c r="A76" t="s">
        <v>11</v>
      </c>
      <c r="B76" t="s">
        <v>23</v>
      </c>
      <c r="C76">
        <v>2563</v>
      </c>
      <c r="D76" s="8">
        <v>12815000</v>
      </c>
      <c r="E76">
        <v>10764600</v>
      </c>
      <c r="F76">
        <v>2050400</v>
      </c>
      <c r="G76" s="1">
        <v>46006</v>
      </c>
      <c r="H76" s="7">
        <f>Table1[[#This Row],[Profit]]/Table1[[#This Row],[Revenue]] *100</f>
        <v>16</v>
      </c>
    </row>
    <row r="77" spans="1:8" x14ac:dyDescent="0.2">
      <c r="A77" t="s">
        <v>15</v>
      </c>
      <c r="B77" t="s">
        <v>19</v>
      </c>
      <c r="C77">
        <v>1162</v>
      </c>
      <c r="D77" s="8">
        <v>52290000</v>
      </c>
      <c r="E77">
        <v>44156000</v>
      </c>
      <c r="F77">
        <v>8134000</v>
      </c>
      <c r="G77" s="1">
        <v>45342</v>
      </c>
      <c r="H77" s="7">
        <f>Table1[[#This Row],[Profit]]/Table1[[#This Row],[Revenue]] *100</f>
        <v>15.555555555555555</v>
      </c>
    </row>
    <row r="78" spans="1:8" x14ac:dyDescent="0.2">
      <c r="A78" t="s">
        <v>22</v>
      </c>
      <c r="B78" t="s">
        <v>12</v>
      </c>
      <c r="C78">
        <v>1341</v>
      </c>
      <c r="D78" s="8">
        <v>1609200</v>
      </c>
      <c r="E78">
        <v>1139850</v>
      </c>
      <c r="F78">
        <v>469350</v>
      </c>
      <c r="G78" s="1">
        <v>45615</v>
      </c>
      <c r="H78" s="7">
        <f>Table1[[#This Row],[Profit]]/Table1[[#This Row],[Revenue]] *100</f>
        <v>29.166666666666668</v>
      </c>
    </row>
    <row r="79" spans="1:8" x14ac:dyDescent="0.2">
      <c r="A79" t="s">
        <v>22</v>
      </c>
      <c r="B79" t="s">
        <v>14</v>
      </c>
      <c r="C79">
        <v>538</v>
      </c>
      <c r="D79" s="8">
        <v>645600</v>
      </c>
      <c r="E79">
        <v>430400</v>
      </c>
      <c r="F79">
        <v>215200</v>
      </c>
      <c r="G79" s="1">
        <v>46080</v>
      </c>
      <c r="H79" s="7">
        <f>Table1[[#This Row],[Profit]]/Table1[[#This Row],[Revenue]] *100</f>
        <v>33.333333333333329</v>
      </c>
    </row>
    <row r="80" spans="1:8" x14ac:dyDescent="0.2">
      <c r="A80" t="s">
        <v>21</v>
      </c>
      <c r="B80" t="s">
        <v>10</v>
      </c>
      <c r="C80">
        <v>1611</v>
      </c>
      <c r="D80" s="8">
        <v>5638500</v>
      </c>
      <c r="E80">
        <v>4188600</v>
      </c>
      <c r="F80">
        <v>1449900</v>
      </c>
      <c r="G80" s="1">
        <v>45432</v>
      </c>
      <c r="H80" s="7">
        <f>Table1[[#This Row],[Profit]]/Table1[[#This Row],[Revenue]] *100</f>
        <v>25.714285714285712</v>
      </c>
    </row>
    <row r="81" spans="1:8" x14ac:dyDescent="0.2">
      <c r="A81" t="s">
        <v>22</v>
      </c>
      <c r="B81" t="s">
        <v>14</v>
      </c>
      <c r="C81">
        <v>96</v>
      </c>
      <c r="D81" s="8">
        <v>115200</v>
      </c>
      <c r="E81">
        <v>76800</v>
      </c>
      <c r="F81">
        <v>38400</v>
      </c>
      <c r="G81" s="1">
        <v>45761</v>
      </c>
      <c r="H81" s="7">
        <f>Table1[[#This Row],[Profit]]/Table1[[#This Row],[Revenue]] *100</f>
        <v>33.333333333333329</v>
      </c>
    </row>
    <row r="82" spans="1:8" x14ac:dyDescent="0.2">
      <c r="A82" t="s">
        <v>7</v>
      </c>
      <c r="B82" t="s">
        <v>19</v>
      </c>
      <c r="C82">
        <v>827</v>
      </c>
      <c r="D82" s="8">
        <v>37215000</v>
      </c>
      <c r="E82">
        <v>31426000</v>
      </c>
      <c r="F82">
        <v>5789000</v>
      </c>
      <c r="G82" s="1">
        <v>46078</v>
      </c>
      <c r="H82" s="7">
        <f>Table1[[#This Row],[Profit]]/Table1[[#This Row],[Revenue]] *100</f>
        <v>15.555555555555555</v>
      </c>
    </row>
    <row r="83" spans="1:8" x14ac:dyDescent="0.2">
      <c r="A83" t="s">
        <v>22</v>
      </c>
      <c r="B83" t="s">
        <v>10</v>
      </c>
      <c r="C83">
        <v>1089</v>
      </c>
      <c r="D83" s="8">
        <v>3811500</v>
      </c>
      <c r="E83">
        <v>2831400</v>
      </c>
      <c r="F83">
        <v>980100</v>
      </c>
      <c r="G83" s="1">
        <v>46255</v>
      </c>
      <c r="H83" s="7">
        <f>Table1[[#This Row],[Profit]]/Table1[[#This Row],[Revenue]] *100</f>
        <v>25.714285714285712</v>
      </c>
    </row>
    <row r="84" spans="1:8" x14ac:dyDescent="0.2">
      <c r="A84" t="s">
        <v>11</v>
      </c>
      <c r="B84" t="s">
        <v>14</v>
      </c>
      <c r="C84">
        <v>760</v>
      </c>
      <c r="D84" s="8">
        <v>912000</v>
      </c>
      <c r="E84">
        <v>608000</v>
      </c>
      <c r="F84">
        <v>304000</v>
      </c>
      <c r="G84" s="1">
        <v>46299</v>
      </c>
      <c r="H84" s="7">
        <f>Table1[[#This Row],[Profit]]/Table1[[#This Row],[Revenue]] *100</f>
        <v>33.333333333333329</v>
      </c>
    </row>
    <row r="85" spans="1:8" x14ac:dyDescent="0.2">
      <c r="A85" t="s">
        <v>21</v>
      </c>
      <c r="B85" t="s">
        <v>23</v>
      </c>
      <c r="C85">
        <v>450</v>
      </c>
      <c r="D85" s="8">
        <v>2250000</v>
      </c>
      <c r="E85">
        <v>1890000</v>
      </c>
      <c r="F85">
        <v>360000</v>
      </c>
      <c r="G85" s="1">
        <v>45664</v>
      </c>
      <c r="H85" s="7">
        <f>Table1[[#This Row],[Profit]]/Table1[[#This Row],[Revenue]] *100</f>
        <v>16</v>
      </c>
    </row>
    <row r="86" spans="1:8" x14ac:dyDescent="0.2">
      <c r="A86" t="s">
        <v>11</v>
      </c>
      <c r="B86" t="s">
        <v>17</v>
      </c>
      <c r="C86">
        <v>1867</v>
      </c>
      <c r="D86" s="8">
        <v>28005000</v>
      </c>
      <c r="E86">
        <v>20537000</v>
      </c>
      <c r="F86">
        <v>7468000</v>
      </c>
      <c r="G86" s="1">
        <v>45785</v>
      </c>
      <c r="H86" s="7">
        <f>Table1[[#This Row],[Profit]]/Table1[[#This Row],[Revenue]] *100</f>
        <v>26.666666666666668</v>
      </c>
    </row>
    <row r="87" spans="1:8" x14ac:dyDescent="0.2">
      <c r="A87" t="s">
        <v>11</v>
      </c>
      <c r="B87" t="s">
        <v>19</v>
      </c>
      <c r="C87">
        <v>299</v>
      </c>
      <c r="D87" s="8">
        <v>13455000</v>
      </c>
      <c r="E87">
        <v>11362000</v>
      </c>
      <c r="F87">
        <v>2093000</v>
      </c>
      <c r="G87" s="1">
        <v>46042</v>
      </c>
      <c r="H87" s="7">
        <f>Table1[[#This Row],[Profit]]/Table1[[#This Row],[Revenue]] *100</f>
        <v>15.555555555555555</v>
      </c>
    </row>
    <row r="88" spans="1:8" x14ac:dyDescent="0.2">
      <c r="A88" t="s">
        <v>16</v>
      </c>
      <c r="B88" t="s">
        <v>14</v>
      </c>
      <c r="C88">
        <v>440</v>
      </c>
      <c r="D88" s="8">
        <v>528000</v>
      </c>
      <c r="E88">
        <v>352000</v>
      </c>
      <c r="F88">
        <v>176000</v>
      </c>
      <c r="G88" s="1">
        <v>45582</v>
      </c>
      <c r="H88" s="7">
        <f>Table1[[#This Row],[Profit]]/Table1[[#This Row],[Revenue]] *100</f>
        <v>33.333333333333329</v>
      </c>
    </row>
    <row r="89" spans="1:8" x14ac:dyDescent="0.2">
      <c r="A89" t="s">
        <v>21</v>
      </c>
      <c r="B89" t="s">
        <v>19</v>
      </c>
      <c r="C89">
        <v>384</v>
      </c>
      <c r="D89" s="8">
        <v>17280000</v>
      </c>
      <c r="E89">
        <v>14592000</v>
      </c>
      <c r="F89">
        <v>2688000</v>
      </c>
      <c r="G89" s="1">
        <v>45397</v>
      </c>
      <c r="H89" s="7">
        <f>Table1[[#This Row],[Profit]]/Table1[[#This Row],[Revenue]] *100</f>
        <v>15.555555555555555</v>
      </c>
    </row>
    <row r="90" spans="1:8" x14ac:dyDescent="0.2">
      <c r="A90" t="s">
        <v>11</v>
      </c>
      <c r="B90" t="s">
        <v>8</v>
      </c>
      <c r="C90">
        <v>678</v>
      </c>
      <c r="D90" s="8">
        <v>2034000</v>
      </c>
      <c r="E90">
        <v>1220400</v>
      </c>
      <c r="F90">
        <v>813600</v>
      </c>
      <c r="G90" s="1">
        <v>45961</v>
      </c>
      <c r="H90" s="7">
        <f>Table1[[#This Row],[Profit]]/Table1[[#This Row],[Revenue]] *100</f>
        <v>40</v>
      </c>
    </row>
    <row r="91" spans="1:8" x14ac:dyDescent="0.2">
      <c r="A91" t="s">
        <v>16</v>
      </c>
      <c r="B91" t="s">
        <v>19</v>
      </c>
      <c r="C91">
        <v>186</v>
      </c>
      <c r="D91" s="8">
        <v>8370000</v>
      </c>
      <c r="E91">
        <v>7068000</v>
      </c>
      <c r="F91">
        <v>1302000</v>
      </c>
      <c r="G91" s="1">
        <v>45293</v>
      </c>
      <c r="H91" s="7">
        <f>Table1[[#This Row],[Profit]]/Table1[[#This Row],[Revenue]] *100</f>
        <v>15.555555555555555</v>
      </c>
    </row>
    <row r="92" spans="1:8" x14ac:dyDescent="0.2">
      <c r="A92" t="s">
        <v>16</v>
      </c>
      <c r="B92" t="s">
        <v>10</v>
      </c>
      <c r="C92">
        <v>2980</v>
      </c>
      <c r="D92" s="8">
        <v>10430000</v>
      </c>
      <c r="E92">
        <v>7748000</v>
      </c>
      <c r="F92">
        <v>2682000</v>
      </c>
      <c r="G92" s="1">
        <v>45880</v>
      </c>
      <c r="H92" s="7">
        <f>Table1[[#This Row],[Profit]]/Table1[[#This Row],[Revenue]] *100</f>
        <v>25.714285714285712</v>
      </c>
    </row>
    <row r="93" spans="1:8" x14ac:dyDescent="0.2">
      <c r="A93" t="s">
        <v>21</v>
      </c>
      <c r="B93" t="s">
        <v>8</v>
      </c>
      <c r="C93">
        <v>2785</v>
      </c>
      <c r="D93" s="8">
        <v>8355000</v>
      </c>
      <c r="E93">
        <v>5013000</v>
      </c>
      <c r="F93">
        <v>3342000</v>
      </c>
      <c r="G93" s="1">
        <v>45935</v>
      </c>
      <c r="H93" s="7">
        <f>Table1[[#This Row],[Profit]]/Table1[[#This Row],[Revenue]] *100</f>
        <v>40</v>
      </c>
    </row>
    <row r="94" spans="1:8" x14ac:dyDescent="0.2">
      <c r="A94" t="s">
        <v>13</v>
      </c>
      <c r="B94" t="s">
        <v>10</v>
      </c>
      <c r="C94">
        <v>1571</v>
      </c>
      <c r="D94" s="8">
        <v>5498500</v>
      </c>
      <c r="E94">
        <v>4084600</v>
      </c>
      <c r="F94">
        <v>1413900</v>
      </c>
      <c r="G94" s="1">
        <v>45381</v>
      </c>
      <c r="H94" s="7">
        <f>Table1[[#This Row],[Profit]]/Table1[[#This Row],[Revenue]] *100</f>
        <v>25.714285714285712</v>
      </c>
    </row>
    <row r="95" spans="1:8" x14ac:dyDescent="0.2">
      <c r="A95" t="s">
        <v>15</v>
      </c>
      <c r="B95" t="s">
        <v>17</v>
      </c>
      <c r="C95">
        <v>876</v>
      </c>
      <c r="D95" s="8">
        <v>13140000</v>
      </c>
      <c r="E95">
        <v>9636000</v>
      </c>
      <c r="F95">
        <v>3504000</v>
      </c>
      <c r="G95" s="1">
        <v>45641</v>
      </c>
      <c r="H95" s="7">
        <f>Table1[[#This Row],[Profit]]/Table1[[#This Row],[Revenue]] *100</f>
        <v>26.666666666666668</v>
      </c>
    </row>
    <row r="96" spans="1:8" x14ac:dyDescent="0.2">
      <c r="A96" t="s">
        <v>7</v>
      </c>
      <c r="B96" t="s">
        <v>8</v>
      </c>
      <c r="C96">
        <v>776</v>
      </c>
      <c r="D96" s="8">
        <v>2328000</v>
      </c>
      <c r="E96">
        <v>1396800</v>
      </c>
      <c r="F96">
        <v>931200</v>
      </c>
      <c r="G96" s="1">
        <v>46354</v>
      </c>
      <c r="H96" s="7">
        <f>Table1[[#This Row],[Profit]]/Table1[[#This Row],[Revenue]] *100</f>
        <v>40</v>
      </c>
    </row>
    <row r="97" spans="1:8" x14ac:dyDescent="0.2">
      <c r="A97" t="s">
        <v>15</v>
      </c>
      <c r="B97" t="s">
        <v>23</v>
      </c>
      <c r="C97">
        <v>1550</v>
      </c>
      <c r="D97" s="8">
        <v>7750000</v>
      </c>
      <c r="E97">
        <v>6510000</v>
      </c>
      <c r="F97">
        <v>1240000</v>
      </c>
      <c r="G97" s="1">
        <v>46200</v>
      </c>
      <c r="H97" s="7">
        <f>Table1[[#This Row],[Profit]]/Table1[[#This Row],[Revenue]] *100</f>
        <v>16</v>
      </c>
    </row>
    <row r="98" spans="1:8" x14ac:dyDescent="0.2">
      <c r="A98" t="s">
        <v>22</v>
      </c>
      <c r="B98" t="s">
        <v>19</v>
      </c>
      <c r="C98">
        <v>2691</v>
      </c>
      <c r="D98" s="8">
        <v>121095000</v>
      </c>
      <c r="E98">
        <v>102258000</v>
      </c>
      <c r="F98">
        <v>18837000</v>
      </c>
      <c r="G98" s="1">
        <v>45450</v>
      </c>
      <c r="H98" s="7">
        <f>Table1[[#This Row],[Profit]]/Table1[[#This Row],[Revenue]] *100</f>
        <v>15.555555555555555</v>
      </c>
    </row>
    <row r="99" spans="1:8" x14ac:dyDescent="0.2">
      <c r="A99" t="s">
        <v>7</v>
      </c>
      <c r="B99" t="s">
        <v>14</v>
      </c>
      <c r="C99">
        <v>1039</v>
      </c>
      <c r="D99" s="8">
        <v>1246800</v>
      </c>
      <c r="E99">
        <v>831200</v>
      </c>
      <c r="F99">
        <v>415600</v>
      </c>
      <c r="G99" s="1">
        <v>46250</v>
      </c>
      <c r="H99" s="7">
        <f>Table1[[#This Row],[Profit]]/Table1[[#This Row],[Revenue]] *100</f>
        <v>33.333333333333329</v>
      </c>
    </row>
    <row r="100" spans="1:8" x14ac:dyDescent="0.2">
      <c r="A100" t="s">
        <v>22</v>
      </c>
      <c r="B100" t="s">
        <v>12</v>
      </c>
      <c r="C100">
        <v>2469</v>
      </c>
      <c r="D100" s="8">
        <v>2962800</v>
      </c>
      <c r="E100">
        <v>2098650</v>
      </c>
      <c r="F100">
        <v>864150</v>
      </c>
      <c r="G100" s="1">
        <v>45603</v>
      </c>
      <c r="H100" s="7">
        <f>Table1[[#This Row],[Profit]]/Table1[[#This Row],[Revenue]] *100</f>
        <v>29.166666666666668</v>
      </c>
    </row>
    <row r="101" spans="1:8" x14ac:dyDescent="0.2">
      <c r="A101" t="s">
        <v>11</v>
      </c>
      <c r="B101" t="s">
        <v>19</v>
      </c>
      <c r="C101">
        <v>984</v>
      </c>
      <c r="D101" s="8">
        <v>44280000</v>
      </c>
      <c r="E101">
        <v>37392000</v>
      </c>
      <c r="F101">
        <v>6888000</v>
      </c>
      <c r="G101" s="1">
        <v>45736</v>
      </c>
      <c r="H101" s="7">
        <f>Table1[[#This Row],[Profit]]/Table1[[#This Row],[Revenue]] *100</f>
        <v>15.555555555555555</v>
      </c>
    </row>
    <row r="102" spans="1:8" x14ac:dyDescent="0.2">
      <c r="A102" t="s">
        <v>20</v>
      </c>
      <c r="B102" t="s">
        <v>19</v>
      </c>
      <c r="C102">
        <v>451</v>
      </c>
      <c r="D102" s="8">
        <v>20295000</v>
      </c>
      <c r="E102">
        <v>17138000</v>
      </c>
      <c r="F102">
        <v>3157000</v>
      </c>
      <c r="G102" s="1">
        <v>45589</v>
      </c>
      <c r="H102" s="7">
        <f>Table1[[#This Row],[Profit]]/Table1[[#This Row],[Revenue]] *100</f>
        <v>15.555555555555555</v>
      </c>
    </row>
    <row r="103" spans="1:8" x14ac:dyDescent="0.2">
      <c r="A103" t="s">
        <v>21</v>
      </c>
      <c r="B103" t="s">
        <v>17</v>
      </c>
      <c r="C103">
        <v>1516</v>
      </c>
      <c r="D103" s="8">
        <v>22740000</v>
      </c>
      <c r="E103">
        <v>16676000</v>
      </c>
      <c r="F103">
        <v>6064000</v>
      </c>
      <c r="G103" s="1">
        <v>46243</v>
      </c>
      <c r="H103" s="7">
        <f>Table1[[#This Row],[Profit]]/Table1[[#This Row],[Revenue]] *100</f>
        <v>26.666666666666668</v>
      </c>
    </row>
    <row r="104" spans="1:8" x14ac:dyDescent="0.2">
      <c r="A104" t="s">
        <v>7</v>
      </c>
      <c r="B104" t="s">
        <v>23</v>
      </c>
      <c r="C104">
        <v>664</v>
      </c>
      <c r="D104" s="8">
        <v>3320000</v>
      </c>
      <c r="E104">
        <v>2788800</v>
      </c>
      <c r="F104">
        <v>531200</v>
      </c>
      <c r="G104" s="1">
        <v>45327</v>
      </c>
      <c r="H104" s="7">
        <f>Table1[[#This Row],[Profit]]/Table1[[#This Row],[Revenue]] *100</f>
        <v>16</v>
      </c>
    </row>
    <row r="105" spans="1:8" x14ac:dyDescent="0.2">
      <c r="A105" t="s">
        <v>7</v>
      </c>
      <c r="B105" t="s">
        <v>12</v>
      </c>
      <c r="C105">
        <v>1346</v>
      </c>
      <c r="D105" s="8">
        <v>1615200</v>
      </c>
      <c r="E105">
        <v>1144100</v>
      </c>
      <c r="F105">
        <v>471100</v>
      </c>
      <c r="G105" s="1">
        <v>45850</v>
      </c>
      <c r="H105" s="7">
        <f>Table1[[#This Row],[Profit]]/Table1[[#This Row],[Revenue]] *100</f>
        <v>29.166666666666668</v>
      </c>
    </row>
    <row r="106" spans="1:8" x14ac:dyDescent="0.2">
      <c r="A106" t="s">
        <v>11</v>
      </c>
      <c r="B106" t="s">
        <v>8</v>
      </c>
      <c r="C106">
        <v>1232</v>
      </c>
      <c r="D106" s="8">
        <v>3696000</v>
      </c>
      <c r="E106">
        <v>2217600</v>
      </c>
      <c r="F106">
        <v>1478400</v>
      </c>
      <c r="G106" s="1">
        <v>46182</v>
      </c>
      <c r="H106" s="7">
        <f>Table1[[#This Row],[Profit]]/Table1[[#This Row],[Revenue]] *100</f>
        <v>40</v>
      </c>
    </row>
    <row r="107" spans="1:8" x14ac:dyDescent="0.2">
      <c r="A107" t="s">
        <v>13</v>
      </c>
      <c r="B107" t="s">
        <v>8</v>
      </c>
      <c r="C107">
        <v>2717</v>
      </c>
      <c r="D107" s="8">
        <v>8151000</v>
      </c>
      <c r="E107">
        <v>4890600</v>
      </c>
      <c r="F107">
        <v>3260400</v>
      </c>
      <c r="G107" s="1">
        <v>45432</v>
      </c>
      <c r="H107" s="7">
        <f>Table1[[#This Row],[Profit]]/Table1[[#This Row],[Revenue]] *100</f>
        <v>40</v>
      </c>
    </row>
    <row r="108" spans="1:8" x14ac:dyDescent="0.2">
      <c r="A108" t="s">
        <v>16</v>
      </c>
      <c r="B108" t="s">
        <v>8</v>
      </c>
      <c r="C108">
        <v>2285</v>
      </c>
      <c r="D108" s="8">
        <v>6855000</v>
      </c>
      <c r="E108">
        <v>4113000</v>
      </c>
      <c r="F108">
        <v>2742000</v>
      </c>
      <c r="G108" s="1">
        <v>46178</v>
      </c>
      <c r="H108" s="7">
        <f>Table1[[#This Row],[Profit]]/Table1[[#This Row],[Revenue]] *100</f>
        <v>40</v>
      </c>
    </row>
    <row r="109" spans="1:8" x14ac:dyDescent="0.2">
      <c r="A109" t="s">
        <v>11</v>
      </c>
      <c r="B109" t="s">
        <v>10</v>
      </c>
      <c r="C109">
        <v>1171</v>
      </c>
      <c r="D109" s="8">
        <v>4098500</v>
      </c>
      <c r="E109">
        <v>3044600</v>
      </c>
      <c r="F109">
        <v>1053900</v>
      </c>
      <c r="G109" s="1">
        <v>46017</v>
      </c>
      <c r="H109" s="7">
        <f>Table1[[#This Row],[Profit]]/Table1[[#This Row],[Revenue]] *100</f>
        <v>25.714285714285712</v>
      </c>
    </row>
    <row r="110" spans="1:8" x14ac:dyDescent="0.2">
      <c r="A110" t="s">
        <v>18</v>
      </c>
      <c r="B110" t="s">
        <v>10</v>
      </c>
      <c r="C110">
        <v>180</v>
      </c>
      <c r="D110" s="8">
        <v>630000</v>
      </c>
      <c r="E110">
        <v>468000</v>
      </c>
      <c r="F110">
        <v>162000</v>
      </c>
      <c r="G110" s="1">
        <v>46341</v>
      </c>
      <c r="H110" s="7">
        <f>Table1[[#This Row],[Profit]]/Table1[[#This Row],[Revenue]] *100</f>
        <v>25.714285714285712</v>
      </c>
    </row>
    <row r="111" spans="1:8" x14ac:dyDescent="0.2">
      <c r="A111" t="s">
        <v>16</v>
      </c>
      <c r="B111" t="s">
        <v>14</v>
      </c>
      <c r="C111">
        <v>2902</v>
      </c>
      <c r="D111" s="8">
        <v>3482400</v>
      </c>
      <c r="E111">
        <v>2321600</v>
      </c>
      <c r="F111">
        <v>1160800</v>
      </c>
      <c r="G111" s="1">
        <v>45812</v>
      </c>
      <c r="H111" s="7">
        <f>Table1[[#This Row],[Profit]]/Table1[[#This Row],[Revenue]] *100</f>
        <v>33.333333333333329</v>
      </c>
    </row>
    <row r="112" spans="1:8" x14ac:dyDescent="0.2">
      <c r="A112" t="s">
        <v>21</v>
      </c>
      <c r="B112" t="s">
        <v>12</v>
      </c>
      <c r="C112">
        <v>1244</v>
      </c>
      <c r="D112" s="8">
        <v>1492800</v>
      </c>
      <c r="E112">
        <v>1057400</v>
      </c>
      <c r="F112">
        <v>435400</v>
      </c>
      <c r="G112" s="1">
        <v>45301</v>
      </c>
      <c r="H112" s="7">
        <f>Table1[[#This Row],[Profit]]/Table1[[#This Row],[Revenue]] *100</f>
        <v>29.166666666666668</v>
      </c>
    </row>
    <row r="113" spans="1:8" x14ac:dyDescent="0.2">
      <c r="A113" t="s">
        <v>16</v>
      </c>
      <c r="B113" t="s">
        <v>8</v>
      </c>
      <c r="C113">
        <v>232</v>
      </c>
      <c r="D113" s="8">
        <v>696000</v>
      </c>
      <c r="E113">
        <v>417600</v>
      </c>
      <c r="F113">
        <v>278400</v>
      </c>
      <c r="G113" s="1">
        <v>46275</v>
      </c>
      <c r="H113" s="7">
        <f>Table1[[#This Row],[Profit]]/Table1[[#This Row],[Revenue]] *100</f>
        <v>40</v>
      </c>
    </row>
    <row r="114" spans="1:8" x14ac:dyDescent="0.2">
      <c r="A114" t="s">
        <v>13</v>
      </c>
      <c r="B114" t="s">
        <v>10</v>
      </c>
      <c r="C114">
        <v>413</v>
      </c>
      <c r="D114" s="8">
        <v>1445500</v>
      </c>
      <c r="E114">
        <v>1073800</v>
      </c>
      <c r="F114">
        <v>371700</v>
      </c>
      <c r="G114" s="1">
        <v>45669</v>
      </c>
      <c r="H114" s="7">
        <f>Table1[[#This Row],[Profit]]/Table1[[#This Row],[Revenue]] *100</f>
        <v>25.714285714285712</v>
      </c>
    </row>
    <row r="115" spans="1:8" x14ac:dyDescent="0.2">
      <c r="A115" t="s">
        <v>16</v>
      </c>
      <c r="B115" t="s">
        <v>14</v>
      </c>
      <c r="C115">
        <v>88</v>
      </c>
      <c r="D115" s="8">
        <v>105600</v>
      </c>
      <c r="E115">
        <v>70400</v>
      </c>
      <c r="F115">
        <v>35200</v>
      </c>
      <c r="G115" s="1">
        <v>45973</v>
      </c>
      <c r="H115" s="7">
        <f>Table1[[#This Row],[Profit]]/Table1[[#This Row],[Revenue]] *100</f>
        <v>33.333333333333329</v>
      </c>
    </row>
    <row r="116" spans="1:8" x14ac:dyDescent="0.2">
      <c r="A116" t="s">
        <v>21</v>
      </c>
      <c r="B116" t="s">
        <v>23</v>
      </c>
      <c r="C116">
        <v>2594</v>
      </c>
      <c r="D116" s="8">
        <v>12970000</v>
      </c>
      <c r="E116">
        <v>10894800</v>
      </c>
      <c r="F116">
        <v>2075200</v>
      </c>
      <c r="G116" s="1">
        <v>45875</v>
      </c>
      <c r="H116" s="7">
        <f>Table1[[#This Row],[Profit]]/Table1[[#This Row],[Revenue]] *100</f>
        <v>16</v>
      </c>
    </row>
    <row r="117" spans="1:8" x14ac:dyDescent="0.2">
      <c r="A117" t="s">
        <v>13</v>
      </c>
      <c r="B117" t="s">
        <v>14</v>
      </c>
      <c r="C117">
        <v>1422</v>
      </c>
      <c r="D117" s="8">
        <v>1706400</v>
      </c>
      <c r="E117">
        <v>1137600</v>
      </c>
      <c r="F117">
        <v>568800</v>
      </c>
      <c r="G117" s="1">
        <v>45443</v>
      </c>
      <c r="H117" s="7">
        <f>Table1[[#This Row],[Profit]]/Table1[[#This Row],[Revenue]] *100</f>
        <v>33.333333333333329</v>
      </c>
    </row>
    <row r="118" spans="1:8" x14ac:dyDescent="0.2">
      <c r="A118" t="s">
        <v>15</v>
      </c>
      <c r="B118" t="s">
        <v>10</v>
      </c>
      <c r="C118">
        <v>970</v>
      </c>
      <c r="D118" s="8">
        <v>3395000</v>
      </c>
      <c r="E118">
        <v>2522000</v>
      </c>
      <c r="F118">
        <v>873000</v>
      </c>
      <c r="G118" s="1">
        <v>46011</v>
      </c>
      <c r="H118" s="7">
        <f>Table1[[#This Row],[Profit]]/Table1[[#This Row],[Revenue]] *100</f>
        <v>25.714285714285712</v>
      </c>
    </row>
    <row r="119" spans="1:8" x14ac:dyDescent="0.2">
      <c r="A119" t="s">
        <v>7</v>
      </c>
      <c r="B119" t="s">
        <v>17</v>
      </c>
      <c r="C119">
        <v>2819</v>
      </c>
      <c r="D119" s="8">
        <v>42285000</v>
      </c>
      <c r="E119">
        <v>31009000</v>
      </c>
      <c r="F119">
        <v>11276000</v>
      </c>
      <c r="G119" s="1">
        <v>46364</v>
      </c>
      <c r="H119" s="7">
        <f>Table1[[#This Row],[Profit]]/Table1[[#This Row],[Revenue]] *100</f>
        <v>26.666666666666668</v>
      </c>
    </row>
    <row r="120" spans="1:8" x14ac:dyDescent="0.2">
      <c r="A120" t="s">
        <v>7</v>
      </c>
      <c r="B120" t="s">
        <v>17</v>
      </c>
      <c r="C120">
        <v>65</v>
      </c>
      <c r="D120" s="8">
        <v>975000</v>
      </c>
      <c r="E120">
        <v>715000</v>
      </c>
      <c r="F120">
        <v>260000</v>
      </c>
      <c r="G120" s="1">
        <v>46150</v>
      </c>
      <c r="H120" s="7">
        <f>Table1[[#This Row],[Profit]]/Table1[[#This Row],[Revenue]] *100</f>
        <v>26.666666666666668</v>
      </c>
    </row>
    <row r="121" spans="1:8" x14ac:dyDescent="0.2">
      <c r="A121" t="s">
        <v>22</v>
      </c>
      <c r="B121" t="s">
        <v>8</v>
      </c>
      <c r="C121">
        <v>542</v>
      </c>
      <c r="D121" s="8">
        <v>1626000</v>
      </c>
      <c r="E121">
        <v>975600</v>
      </c>
      <c r="F121">
        <v>650400</v>
      </c>
      <c r="G121" s="1">
        <v>45341</v>
      </c>
      <c r="H121" s="7">
        <f>Table1[[#This Row],[Profit]]/Table1[[#This Row],[Revenue]] *100</f>
        <v>40</v>
      </c>
    </row>
    <row r="122" spans="1:8" x14ac:dyDescent="0.2">
      <c r="A122" t="s">
        <v>15</v>
      </c>
      <c r="B122" t="s">
        <v>17</v>
      </c>
      <c r="C122">
        <v>1499</v>
      </c>
      <c r="D122" s="8">
        <v>22485000</v>
      </c>
      <c r="E122">
        <v>16489000</v>
      </c>
      <c r="F122">
        <v>5996000</v>
      </c>
      <c r="G122" s="1">
        <v>45955</v>
      </c>
      <c r="H122" s="7">
        <f>Table1[[#This Row],[Profit]]/Table1[[#This Row],[Revenue]] *100</f>
        <v>26.666666666666668</v>
      </c>
    </row>
    <row r="123" spans="1:8" x14ac:dyDescent="0.2">
      <c r="A123" t="s">
        <v>15</v>
      </c>
      <c r="B123" t="s">
        <v>8</v>
      </c>
      <c r="C123">
        <v>1181</v>
      </c>
      <c r="D123" s="8">
        <v>3543000</v>
      </c>
      <c r="E123">
        <v>2125800</v>
      </c>
      <c r="F123">
        <v>1417200</v>
      </c>
      <c r="G123" s="1">
        <v>45822</v>
      </c>
      <c r="H123" s="7">
        <f>Table1[[#This Row],[Profit]]/Table1[[#This Row],[Revenue]] *100</f>
        <v>40</v>
      </c>
    </row>
    <row r="124" spans="1:8" x14ac:dyDescent="0.2">
      <c r="A124" t="s">
        <v>16</v>
      </c>
      <c r="B124" t="s">
        <v>8</v>
      </c>
      <c r="C124">
        <v>2991</v>
      </c>
      <c r="D124" s="8">
        <v>8973000</v>
      </c>
      <c r="E124">
        <v>5383800</v>
      </c>
      <c r="F124">
        <v>3589200</v>
      </c>
      <c r="G124" s="1">
        <v>46375</v>
      </c>
      <c r="H124" s="7">
        <f>Table1[[#This Row],[Profit]]/Table1[[#This Row],[Revenue]] *100</f>
        <v>40</v>
      </c>
    </row>
    <row r="125" spans="1:8" x14ac:dyDescent="0.2">
      <c r="A125" t="s">
        <v>7</v>
      </c>
      <c r="B125" t="s">
        <v>10</v>
      </c>
      <c r="C125">
        <v>360</v>
      </c>
      <c r="D125" s="8">
        <v>1260000</v>
      </c>
      <c r="E125">
        <v>936000</v>
      </c>
      <c r="F125">
        <v>324000</v>
      </c>
      <c r="G125" s="1">
        <v>46148</v>
      </c>
      <c r="H125" s="7">
        <f>Table1[[#This Row],[Profit]]/Table1[[#This Row],[Revenue]] *100</f>
        <v>25.714285714285712</v>
      </c>
    </row>
    <row r="126" spans="1:8" x14ac:dyDescent="0.2">
      <c r="A126" t="s">
        <v>21</v>
      </c>
      <c r="B126" t="s">
        <v>17</v>
      </c>
      <c r="C126">
        <v>788</v>
      </c>
      <c r="D126" s="8">
        <v>11820000</v>
      </c>
      <c r="E126">
        <v>8668000</v>
      </c>
      <c r="F126">
        <v>3152000</v>
      </c>
      <c r="G126" s="1">
        <v>45437</v>
      </c>
      <c r="H126" s="7">
        <f>Table1[[#This Row],[Profit]]/Table1[[#This Row],[Revenue]] *100</f>
        <v>26.666666666666668</v>
      </c>
    </row>
    <row r="127" spans="1:8" x14ac:dyDescent="0.2">
      <c r="A127" t="s">
        <v>9</v>
      </c>
      <c r="B127" t="s">
        <v>8</v>
      </c>
      <c r="C127">
        <v>595</v>
      </c>
      <c r="D127" s="8">
        <v>1785000</v>
      </c>
      <c r="E127">
        <v>1071000</v>
      </c>
      <c r="F127">
        <v>714000</v>
      </c>
      <c r="G127" s="1">
        <v>46206</v>
      </c>
      <c r="H127" s="7">
        <f>Table1[[#This Row],[Profit]]/Table1[[#This Row],[Revenue]] *100</f>
        <v>40</v>
      </c>
    </row>
    <row r="128" spans="1:8" x14ac:dyDescent="0.2">
      <c r="A128" t="s">
        <v>9</v>
      </c>
      <c r="B128" t="s">
        <v>12</v>
      </c>
      <c r="C128">
        <v>2511</v>
      </c>
      <c r="D128" s="8">
        <v>3013200</v>
      </c>
      <c r="E128">
        <v>2134350</v>
      </c>
      <c r="F128">
        <v>878850</v>
      </c>
      <c r="G128" s="1">
        <v>46284</v>
      </c>
      <c r="H128" s="7">
        <f>Table1[[#This Row],[Profit]]/Table1[[#This Row],[Revenue]] *100</f>
        <v>29.166666666666668</v>
      </c>
    </row>
    <row r="129" spans="1:8" x14ac:dyDescent="0.2">
      <c r="A129" t="s">
        <v>13</v>
      </c>
      <c r="B129" t="s">
        <v>23</v>
      </c>
      <c r="C129">
        <v>300</v>
      </c>
      <c r="D129" s="8">
        <v>1500000</v>
      </c>
      <c r="E129">
        <v>1260000</v>
      </c>
      <c r="F129">
        <v>240000</v>
      </c>
      <c r="G129" s="1">
        <v>45533</v>
      </c>
      <c r="H129" s="7">
        <f>Table1[[#This Row],[Profit]]/Table1[[#This Row],[Revenue]] *100</f>
        <v>16</v>
      </c>
    </row>
    <row r="130" spans="1:8" x14ac:dyDescent="0.2">
      <c r="A130" t="s">
        <v>7</v>
      </c>
      <c r="B130" t="s">
        <v>14</v>
      </c>
      <c r="C130">
        <v>808</v>
      </c>
      <c r="D130" s="8">
        <v>969600</v>
      </c>
      <c r="E130">
        <v>646400</v>
      </c>
      <c r="F130">
        <v>323200</v>
      </c>
      <c r="G130" s="1">
        <v>45872</v>
      </c>
      <c r="H130" s="7">
        <f>Table1[[#This Row],[Profit]]/Table1[[#This Row],[Revenue]] *100</f>
        <v>33.333333333333329</v>
      </c>
    </row>
    <row r="131" spans="1:8" x14ac:dyDescent="0.2">
      <c r="A131" t="s">
        <v>7</v>
      </c>
      <c r="B131" t="s">
        <v>14</v>
      </c>
      <c r="C131">
        <v>1854</v>
      </c>
      <c r="D131" s="8">
        <v>2224800</v>
      </c>
      <c r="E131">
        <v>1483200</v>
      </c>
      <c r="F131">
        <v>741600</v>
      </c>
      <c r="G131" s="1">
        <v>45978</v>
      </c>
      <c r="H131" s="7">
        <f>Table1[[#This Row],[Profit]]/Table1[[#This Row],[Revenue]] *100</f>
        <v>33.333333333333329</v>
      </c>
    </row>
    <row r="132" spans="1:8" x14ac:dyDescent="0.2">
      <c r="A132" t="s">
        <v>9</v>
      </c>
      <c r="B132" t="s">
        <v>10</v>
      </c>
      <c r="C132">
        <v>1347</v>
      </c>
      <c r="D132" s="8">
        <v>4714500</v>
      </c>
      <c r="E132">
        <v>3502200</v>
      </c>
      <c r="F132">
        <v>1212300</v>
      </c>
      <c r="G132" s="1">
        <v>45774</v>
      </c>
      <c r="H132" s="7">
        <f>Table1[[#This Row],[Profit]]/Table1[[#This Row],[Revenue]] *100</f>
        <v>25.714285714285712</v>
      </c>
    </row>
    <row r="133" spans="1:8" x14ac:dyDescent="0.2">
      <c r="A133" t="s">
        <v>7</v>
      </c>
      <c r="B133" t="s">
        <v>17</v>
      </c>
      <c r="C133">
        <v>1681</v>
      </c>
      <c r="D133" s="8">
        <v>25215000</v>
      </c>
      <c r="E133">
        <v>18491000</v>
      </c>
      <c r="F133">
        <v>6724000</v>
      </c>
      <c r="G133" s="1">
        <v>45964</v>
      </c>
      <c r="H133" s="7">
        <f>Table1[[#This Row],[Profit]]/Table1[[#This Row],[Revenue]] *100</f>
        <v>26.666666666666668</v>
      </c>
    </row>
    <row r="134" spans="1:8" x14ac:dyDescent="0.2">
      <c r="A134" t="s">
        <v>16</v>
      </c>
      <c r="B134" t="s">
        <v>17</v>
      </c>
      <c r="C134">
        <v>1964</v>
      </c>
      <c r="D134" s="8">
        <v>29460000</v>
      </c>
      <c r="E134">
        <v>21604000</v>
      </c>
      <c r="F134">
        <v>7856000</v>
      </c>
      <c r="G134" s="1">
        <v>45922</v>
      </c>
      <c r="H134" s="7">
        <f>Table1[[#This Row],[Profit]]/Table1[[#This Row],[Revenue]] *100</f>
        <v>26.666666666666668</v>
      </c>
    </row>
    <row r="135" spans="1:8" x14ac:dyDescent="0.2">
      <c r="A135" t="s">
        <v>18</v>
      </c>
      <c r="B135" t="s">
        <v>8</v>
      </c>
      <c r="C135">
        <v>863</v>
      </c>
      <c r="D135" s="8">
        <v>2589000</v>
      </c>
      <c r="E135">
        <v>1553400</v>
      </c>
      <c r="F135">
        <v>1035600</v>
      </c>
      <c r="G135" s="1">
        <v>45952</v>
      </c>
      <c r="H135" s="7">
        <f>Table1[[#This Row],[Profit]]/Table1[[#This Row],[Revenue]] *100</f>
        <v>40</v>
      </c>
    </row>
    <row r="136" spans="1:8" x14ac:dyDescent="0.2">
      <c r="A136" t="s">
        <v>20</v>
      </c>
      <c r="B136" t="s">
        <v>19</v>
      </c>
      <c r="C136">
        <v>78</v>
      </c>
      <c r="D136" s="8">
        <v>3510000</v>
      </c>
      <c r="E136">
        <v>2964000</v>
      </c>
      <c r="F136">
        <v>546000</v>
      </c>
      <c r="G136" s="1">
        <v>45953</v>
      </c>
      <c r="H136" s="7">
        <f>Table1[[#This Row],[Profit]]/Table1[[#This Row],[Revenue]] *100</f>
        <v>15.555555555555555</v>
      </c>
    </row>
    <row r="137" spans="1:8" x14ac:dyDescent="0.2">
      <c r="A137" t="s">
        <v>15</v>
      </c>
      <c r="B137" t="s">
        <v>8</v>
      </c>
      <c r="C137">
        <v>1007</v>
      </c>
      <c r="D137" s="8">
        <v>3021000</v>
      </c>
      <c r="E137">
        <v>1812600</v>
      </c>
      <c r="F137">
        <v>1208400</v>
      </c>
      <c r="G137" s="1">
        <v>46096</v>
      </c>
      <c r="H137" s="7">
        <f>Table1[[#This Row],[Profit]]/Table1[[#This Row],[Revenue]] *100</f>
        <v>40</v>
      </c>
    </row>
    <row r="138" spans="1:8" x14ac:dyDescent="0.2">
      <c r="A138" t="s">
        <v>22</v>
      </c>
      <c r="B138" t="s">
        <v>23</v>
      </c>
      <c r="C138">
        <v>2082</v>
      </c>
      <c r="D138" s="8">
        <v>10410000</v>
      </c>
      <c r="E138">
        <v>8744400</v>
      </c>
      <c r="F138">
        <v>1665600</v>
      </c>
      <c r="G138" s="1">
        <v>45710</v>
      </c>
      <c r="H138" s="7">
        <f>Table1[[#This Row],[Profit]]/Table1[[#This Row],[Revenue]] *100</f>
        <v>16</v>
      </c>
    </row>
    <row r="139" spans="1:8" x14ac:dyDescent="0.2">
      <c r="A139" t="s">
        <v>13</v>
      </c>
      <c r="B139" t="s">
        <v>12</v>
      </c>
      <c r="C139">
        <v>526</v>
      </c>
      <c r="D139" s="8">
        <v>631200</v>
      </c>
      <c r="E139">
        <v>447100</v>
      </c>
      <c r="F139">
        <v>184100</v>
      </c>
      <c r="G139" s="1">
        <v>46279</v>
      </c>
      <c r="H139" s="7">
        <f>Table1[[#This Row],[Profit]]/Table1[[#This Row],[Revenue]] *100</f>
        <v>29.166666666666668</v>
      </c>
    </row>
    <row r="140" spans="1:8" x14ac:dyDescent="0.2">
      <c r="A140" t="s">
        <v>18</v>
      </c>
      <c r="B140" t="s">
        <v>14</v>
      </c>
      <c r="C140">
        <v>367</v>
      </c>
      <c r="D140" s="8">
        <v>440400</v>
      </c>
      <c r="E140">
        <v>293600</v>
      </c>
      <c r="F140">
        <v>146800</v>
      </c>
      <c r="G140" s="1">
        <v>45941</v>
      </c>
      <c r="H140" s="7">
        <f>Table1[[#This Row],[Profit]]/Table1[[#This Row],[Revenue]] *100</f>
        <v>33.333333333333329</v>
      </c>
    </row>
    <row r="141" spans="1:8" x14ac:dyDescent="0.2">
      <c r="A141" t="s">
        <v>9</v>
      </c>
      <c r="B141" t="s">
        <v>8</v>
      </c>
      <c r="C141">
        <v>294</v>
      </c>
      <c r="D141" s="8">
        <v>882000</v>
      </c>
      <c r="E141">
        <v>529200</v>
      </c>
      <c r="F141">
        <v>352800</v>
      </c>
      <c r="G141" s="1">
        <v>46260</v>
      </c>
      <c r="H141" s="7">
        <f>Table1[[#This Row],[Profit]]/Table1[[#This Row],[Revenue]] *100</f>
        <v>40</v>
      </c>
    </row>
    <row r="142" spans="1:8" x14ac:dyDescent="0.2">
      <c r="A142" t="s">
        <v>15</v>
      </c>
      <c r="B142" t="s">
        <v>19</v>
      </c>
      <c r="C142">
        <v>797</v>
      </c>
      <c r="D142" s="8">
        <v>35865000</v>
      </c>
      <c r="E142">
        <v>30286000</v>
      </c>
      <c r="F142">
        <v>5579000</v>
      </c>
      <c r="G142" s="1">
        <v>45881</v>
      </c>
      <c r="H142" s="7">
        <f>Table1[[#This Row],[Profit]]/Table1[[#This Row],[Revenue]] *100</f>
        <v>15.555555555555555</v>
      </c>
    </row>
    <row r="143" spans="1:8" x14ac:dyDescent="0.2">
      <c r="A143" t="s">
        <v>7</v>
      </c>
      <c r="B143" t="s">
        <v>19</v>
      </c>
      <c r="C143">
        <v>746</v>
      </c>
      <c r="D143" s="8">
        <v>33570000</v>
      </c>
      <c r="E143">
        <v>28348000</v>
      </c>
      <c r="F143">
        <v>5222000</v>
      </c>
      <c r="G143" s="1">
        <v>45800</v>
      </c>
      <c r="H143" s="7">
        <f>Table1[[#This Row],[Profit]]/Table1[[#This Row],[Revenue]] *100</f>
        <v>15.555555555555555</v>
      </c>
    </row>
    <row r="144" spans="1:8" x14ac:dyDescent="0.2">
      <c r="A144" t="s">
        <v>22</v>
      </c>
      <c r="B144" t="s">
        <v>8</v>
      </c>
      <c r="C144">
        <v>321</v>
      </c>
      <c r="D144" s="8">
        <v>963000</v>
      </c>
      <c r="E144">
        <v>577800</v>
      </c>
      <c r="F144">
        <v>385200</v>
      </c>
      <c r="G144" s="1">
        <v>45732</v>
      </c>
      <c r="H144" s="7">
        <f>Table1[[#This Row],[Profit]]/Table1[[#This Row],[Revenue]] *100</f>
        <v>40</v>
      </c>
    </row>
    <row r="145" spans="1:8" x14ac:dyDescent="0.2">
      <c r="A145" t="s">
        <v>7</v>
      </c>
      <c r="B145" t="s">
        <v>10</v>
      </c>
      <c r="C145">
        <v>1821</v>
      </c>
      <c r="D145" s="8">
        <v>6373500</v>
      </c>
      <c r="E145">
        <v>4734600</v>
      </c>
      <c r="F145">
        <v>1638900</v>
      </c>
      <c r="G145" s="1">
        <v>46212</v>
      </c>
      <c r="H145" s="7">
        <f>Table1[[#This Row],[Profit]]/Table1[[#This Row],[Revenue]] *100</f>
        <v>25.714285714285712</v>
      </c>
    </row>
    <row r="146" spans="1:8" x14ac:dyDescent="0.2">
      <c r="A146" t="s">
        <v>21</v>
      </c>
      <c r="B146" t="s">
        <v>14</v>
      </c>
      <c r="C146">
        <v>1312</v>
      </c>
      <c r="D146" s="8">
        <v>1574400</v>
      </c>
      <c r="E146">
        <v>1049600</v>
      </c>
      <c r="F146">
        <v>524800</v>
      </c>
      <c r="G146" s="1">
        <v>46061</v>
      </c>
      <c r="H146" s="7">
        <f>Table1[[#This Row],[Profit]]/Table1[[#This Row],[Revenue]] *100</f>
        <v>33.333333333333329</v>
      </c>
    </row>
    <row r="147" spans="1:8" x14ac:dyDescent="0.2">
      <c r="A147" t="s">
        <v>21</v>
      </c>
      <c r="B147" t="s">
        <v>10</v>
      </c>
      <c r="C147">
        <v>2474</v>
      </c>
      <c r="D147" s="8">
        <v>8659000</v>
      </c>
      <c r="E147">
        <v>6432400</v>
      </c>
      <c r="F147">
        <v>2226600</v>
      </c>
      <c r="G147" s="1">
        <v>45554</v>
      </c>
      <c r="H147" s="7">
        <f>Table1[[#This Row],[Profit]]/Table1[[#This Row],[Revenue]] *100</f>
        <v>25.714285714285712</v>
      </c>
    </row>
    <row r="148" spans="1:8" x14ac:dyDescent="0.2">
      <c r="A148" t="s">
        <v>22</v>
      </c>
      <c r="B148" t="s">
        <v>12</v>
      </c>
      <c r="C148">
        <v>315</v>
      </c>
      <c r="D148" s="8">
        <v>378000</v>
      </c>
      <c r="E148">
        <v>267750</v>
      </c>
      <c r="F148">
        <v>110250</v>
      </c>
      <c r="G148" s="1">
        <v>45928</v>
      </c>
      <c r="H148" s="7">
        <f>Table1[[#This Row],[Profit]]/Table1[[#This Row],[Revenue]] *100</f>
        <v>29.166666666666668</v>
      </c>
    </row>
    <row r="149" spans="1:8" x14ac:dyDescent="0.2">
      <c r="A149" t="s">
        <v>22</v>
      </c>
      <c r="B149" t="s">
        <v>19</v>
      </c>
      <c r="C149">
        <v>970</v>
      </c>
      <c r="D149" s="8">
        <v>43650000</v>
      </c>
      <c r="E149">
        <v>36860000</v>
      </c>
      <c r="F149">
        <v>6790000</v>
      </c>
      <c r="G149" s="1">
        <v>45750</v>
      </c>
      <c r="H149" s="7">
        <f>Table1[[#This Row],[Profit]]/Table1[[#This Row],[Revenue]] *100</f>
        <v>15.555555555555555</v>
      </c>
    </row>
    <row r="150" spans="1:8" x14ac:dyDescent="0.2">
      <c r="A150" t="s">
        <v>9</v>
      </c>
      <c r="B150" t="s">
        <v>19</v>
      </c>
      <c r="C150">
        <v>389</v>
      </c>
      <c r="D150" s="8">
        <v>17505000</v>
      </c>
      <c r="E150">
        <v>14782000</v>
      </c>
      <c r="F150">
        <v>2723000</v>
      </c>
      <c r="G150" s="1">
        <v>46290</v>
      </c>
      <c r="H150" s="7">
        <f>Table1[[#This Row],[Profit]]/Table1[[#This Row],[Revenue]] *100</f>
        <v>15.555555555555555</v>
      </c>
    </row>
    <row r="151" spans="1:8" x14ac:dyDescent="0.2">
      <c r="A151" t="s">
        <v>22</v>
      </c>
      <c r="B151" t="s">
        <v>23</v>
      </c>
      <c r="C151">
        <v>438</v>
      </c>
      <c r="D151" s="8">
        <v>2190000</v>
      </c>
      <c r="E151">
        <v>1839600</v>
      </c>
      <c r="F151">
        <v>350400</v>
      </c>
      <c r="G151" s="1">
        <v>45991</v>
      </c>
      <c r="H151" s="7">
        <f>Table1[[#This Row],[Profit]]/Table1[[#This Row],[Revenue]] *100</f>
        <v>16</v>
      </c>
    </row>
    <row r="152" spans="1:8" x14ac:dyDescent="0.2">
      <c r="A152" t="s">
        <v>16</v>
      </c>
      <c r="B152" t="s">
        <v>12</v>
      </c>
      <c r="C152">
        <v>2674</v>
      </c>
      <c r="D152" s="8">
        <v>3208800</v>
      </c>
      <c r="E152">
        <v>2272900</v>
      </c>
      <c r="F152">
        <v>935900</v>
      </c>
      <c r="G152" s="1">
        <v>45593</v>
      </c>
      <c r="H152" s="7">
        <f>Table1[[#This Row],[Profit]]/Table1[[#This Row],[Revenue]] *100</f>
        <v>29.166666666666668</v>
      </c>
    </row>
    <row r="153" spans="1:8" x14ac:dyDescent="0.2">
      <c r="A153" t="s">
        <v>7</v>
      </c>
      <c r="B153" t="s">
        <v>19</v>
      </c>
      <c r="C153">
        <v>2100</v>
      </c>
      <c r="D153" s="8">
        <v>94500000</v>
      </c>
      <c r="E153">
        <v>79800000</v>
      </c>
      <c r="F153">
        <v>14700000</v>
      </c>
      <c r="G153" s="1">
        <v>45845</v>
      </c>
      <c r="H153" s="7">
        <f>Table1[[#This Row],[Profit]]/Table1[[#This Row],[Revenue]] *100</f>
        <v>15.555555555555555</v>
      </c>
    </row>
    <row r="154" spans="1:8" x14ac:dyDescent="0.2">
      <c r="A154" t="s">
        <v>18</v>
      </c>
      <c r="B154" t="s">
        <v>12</v>
      </c>
      <c r="C154">
        <v>1215</v>
      </c>
      <c r="D154" s="8">
        <v>1458000</v>
      </c>
      <c r="E154">
        <v>1032750</v>
      </c>
      <c r="F154">
        <v>425250</v>
      </c>
      <c r="G154" s="1">
        <v>45579</v>
      </c>
      <c r="H154" s="7">
        <f>Table1[[#This Row],[Profit]]/Table1[[#This Row],[Revenue]] *100</f>
        <v>29.166666666666668</v>
      </c>
    </row>
    <row r="155" spans="1:8" x14ac:dyDescent="0.2">
      <c r="A155" t="s">
        <v>11</v>
      </c>
      <c r="B155" t="s">
        <v>14</v>
      </c>
      <c r="C155">
        <v>425</v>
      </c>
      <c r="D155" s="8">
        <v>510000</v>
      </c>
      <c r="E155">
        <v>340000</v>
      </c>
      <c r="F155">
        <v>170000</v>
      </c>
      <c r="G155" s="1">
        <v>45912</v>
      </c>
      <c r="H155" s="7">
        <f>Table1[[#This Row],[Profit]]/Table1[[#This Row],[Revenue]] *100</f>
        <v>33.333333333333329</v>
      </c>
    </row>
    <row r="156" spans="1:8" x14ac:dyDescent="0.2">
      <c r="A156" t="s">
        <v>22</v>
      </c>
      <c r="B156" t="s">
        <v>17</v>
      </c>
      <c r="C156">
        <v>2083</v>
      </c>
      <c r="D156" s="8">
        <v>31245000</v>
      </c>
      <c r="E156">
        <v>22913000</v>
      </c>
      <c r="F156">
        <v>8332000</v>
      </c>
      <c r="G156" s="1">
        <v>46297</v>
      </c>
      <c r="H156" s="7">
        <f>Table1[[#This Row],[Profit]]/Table1[[#This Row],[Revenue]] *100</f>
        <v>26.666666666666668</v>
      </c>
    </row>
    <row r="157" spans="1:8" x14ac:dyDescent="0.2">
      <c r="A157" t="s">
        <v>13</v>
      </c>
      <c r="B157" t="s">
        <v>19</v>
      </c>
      <c r="C157">
        <v>2421</v>
      </c>
      <c r="D157" s="8">
        <v>108945000</v>
      </c>
      <c r="E157">
        <v>91998000</v>
      </c>
      <c r="F157">
        <v>16947000</v>
      </c>
      <c r="G157" s="1">
        <v>45327</v>
      </c>
      <c r="H157" s="7">
        <f>Table1[[#This Row],[Profit]]/Table1[[#This Row],[Revenue]] *100</f>
        <v>15.555555555555555</v>
      </c>
    </row>
    <row r="158" spans="1:8" x14ac:dyDescent="0.2">
      <c r="A158" t="s">
        <v>21</v>
      </c>
      <c r="B158" t="s">
        <v>23</v>
      </c>
      <c r="C158">
        <v>195</v>
      </c>
      <c r="D158" s="8">
        <v>975000</v>
      </c>
      <c r="E158">
        <v>819000</v>
      </c>
      <c r="F158">
        <v>156000</v>
      </c>
      <c r="G158" s="1">
        <v>46035</v>
      </c>
      <c r="H158" s="7">
        <f>Table1[[#This Row],[Profit]]/Table1[[#This Row],[Revenue]] *100</f>
        <v>16</v>
      </c>
    </row>
    <row r="159" spans="1:8" x14ac:dyDescent="0.2">
      <c r="A159" t="s">
        <v>16</v>
      </c>
      <c r="B159" t="s">
        <v>14</v>
      </c>
      <c r="C159">
        <v>2031</v>
      </c>
      <c r="D159" s="8">
        <v>2437200</v>
      </c>
      <c r="E159">
        <v>1624800</v>
      </c>
      <c r="F159">
        <v>812400</v>
      </c>
      <c r="G159" s="1">
        <v>45644</v>
      </c>
      <c r="H159" s="7">
        <f>Table1[[#This Row],[Profit]]/Table1[[#This Row],[Revenue]] *100</f>
        <v>33.333333333333329</v>
      </c>
    </row>
    <row r="160" spans="1:8" x14ac:dyDescent="0.2">
      <c r="A160" t="s">
        <v>15</v>
      </c>
      <c r="B160" t="s">
        <v>8</v>
      </c>
      <c r="C160">
        <v>342</v>
      </c>
      <c r="D160" s="8">
        <v>1026000</v>
      </c>
      <c r="E160">
        <v>615600</v>
      </c>
      <c r="F160">
        <v>410400</v>
      </c>
      <c r="G160" s="1">
        <v>45364</v>
      </c>
      <c r="H160" s="7">
        <f>Table1[[#This Row],[Profit]]/Table1[[#This Row],[Revenue]] *100</f>
        <v>40</v>
      </c>
    </row>
    <row r="161" spans="1:8" x14ac:dyDescent="0.2">
      <c r="A161" t="s">
        <v>11</v>
      </c>
      <c r="B161" t="s">
        <v>12</v>
      </c>
      <c r="C161">
        <v>481</v>
      </c>
      <c r="D161" s="8">
        <v>577200</v>
      </c>
      <c r="E161">
        <v>408850</v>
      </c>
      <c r="F161">
        <v>168350</v>
      </c>
      <c r="G161" s="1">
        <v>45939</v>
      </c>
      <c r="H161" s="7">
        <f>Table1[[#This Row],[Profit]]/Table1[[#This Row],[Revenue]] *100</f>
        <v>29.166666666666668</v>
      </c>
    </row>
    <row r="162" spans="1:8" x14ac:dyDescent="0.2">
      <c r="A162" t="s">
        <v>18</v>
      </c>
      <c r="B162" t="s">
        <v>8</v>
      </c>
      <c r="C162">
        <v>754</v>
      </c>
      <c r="D162" s="8">
        <v>2262000</v>
      </c>
      <c r="E162">
        <v>1357200</v>
      </c>
      <c r="F162">
        <v>904800</v>
      </c>
      <c r="G162" s="1">
        <v>46385</v>
      </c>
      <c r="H162" s="7">
        <f>Table1[[#This Row],[Profit]]/Table1[[#This Row],[Revenue]] *100</f>
        <v>40</v>
      </c>
    </row>
    <row r="163" spans="1:8" x14ac:dyDescent="0.2">
      <c r="A163" t="s">
        <v>11</v>
      </c>
      <c r="B163" t="s">
        <v>10</v>
      </c>
      <c r="C163">
        <v>2048</v>
      </c>
      <c r="D163" s="8">
        <v>7168000</v>
      </c>
      <c r="E163">
        <v>5324800</v>
      </c>
      <c r="F163">
        <v>1843200</v>
      </c>
      <c r="G163" s="1">
        <v>45716</v>
      </c>
      <c r="H163" s="7">
        <f>Table1[[#This Row],[Profit]]/Table1[[#This Row],[Revenue]] *100</f>
        <v>25.714285714285712</v>
      </c>
    </row>
    <row r="164" spans="1:8" x14ac:dyDescent="0.2">
      <c r="A164" t="s">
        <v>22</v>
      </c>
      <c r="B164" t="s">
        <v>14</v>
      </c>
      <c r="C164">
        <v>2682</v>
      </c>
      <c r="D164" s="8">
        <v>3218400</v>
      </c>
      <c r="E164">
        <v>2145600</v>
      </c>
      <c r="F164">
        <v>1072800</v>
      </c>
      <c r="G164" s="1">
        <v>46290</v>
      </c>
      <c r="H164" s="7">
        <f>Table1[[#This Row],[Profit]]/Table1[[#This Row],[Revenue]] *100</f>
        <v>33.333333333333329</v>
      </c>
    </row>
    <row r="165" spans="1:8" x14ac:dyDescent="0.2">
      <c r="A165" t="s">
        <v>9</v>
      </c>
      <c r="B165" t="s">
        <v>8</v>
      </c>
      <c r="C165">
        <v>448</v>
      </c>
      <c r="D165" s="8">
        <v>1344000</v>
      </c>
      <c r="E165">
        <v>806400</v>
      </c>
      <c r="F165">
        <v>537600</v>
      </c>
      <c r="G165" s="1">
        <v>45999</v>
      </c>
      <c r="H165" s="7">
        <f>Table1[[#This Row],[Profit]]/Table1[[#This Row],[Revenue]] *100</f>
        <v>40</v>
      </c>
    </row>
    <row r="166" spans="1:8" x14ac:dyDescent="0.2">
      <c r="A166" t="s">
        <v>21</v>
      </c>
      <c r="B166" t="s">
        <v>19</v>
      </c>
      <c r="C166">
        <v>2914</v>
      </c>
      <c r="D166" s="8">
        <v>131130000</v>
      </c>
      <c r="E166">
        <v>110732000</v>
      </c>
      <c r="F166">
        <v>20398000</v>
      </c>
      <c r="G166" s="1">
        <v>45852</v>
      </c>
      <c r="H166" s="7">
        <f>Table1[[#This Row],[Profit]]/Table1[[#This Row],[Revenue]] *100</f>
        <v>15.555555555555555</v>
      </c>
    </row>
    <row r="167" spans="1:8" x14ac:dyDescent="0.2">
      <c r="A167" t="s">
        <v>21</v>
      </c>
      <c r="B167" t="s">
        <v>12</v>
      </c>
      <c r="C167">
        <v>1013</v>
      </c>
      <c r="D167" s="8">
        <v>1215600</v>
      </c>
      <c r="E167">
        <v>861050</v>
      </c>
      <c r="F167">
        <v>354550</v>
      </c>
      <c r="G167" s="1">
        <v>46119</v>
      </c>
      <c r="H167" s="7">
        <f>Table1[[#This Row],[Profit]]/Table1[[#This Row],[Revenue]] *100</f>
        <v>29.166666666666668</v>
      </c>
    </row>
    <row r="168" spans="1:8" x14ac:dyDescent="0.2">
      <c r="A168" t="s">
        <v>15</v>
      </c>
      <c r="B168" t="s">
        <v>17</v>
      </c>
      <c r="C168">
        <v>2284</v>
      </c>
      <c r="D168" s="8">
        <v>34260000</v>
      </c>
      <c r="E168">
        <v>25124000</v>
      </c>
      <c r="F168">
        <v>9136000</v>
      </c>
      <c r="G168" s="1">
        <v>46247</v>
      </c>
      <c r="H168" s="7">
        <f>Table1[[#This Row],[Profit]]/Table1[[#This Row],[Revenue]] *100</f>
        <v>26.666666666666668</v>
      </c>
    </row>
    <row r="169" spans="1:8" x14ac:dyDescent="0.2">
      <c r="A169" t="s">
        <v>9</v>
      </c>
      <c r="B169" t="s">
        <v>14</v>
      </c>
      <c r="C169">
        <v>2091</v>
      </c>
      <c r="D169" s="8">
        <v>2509200</v>
      </c>
      <c r="E169">
        <v>1672800</v>
      </c>
      <c r="F169">
        <v>836400</v>
      </c>
      <c r="G169" s="1">
        <v>45808</v>
      </c>
      <c r="H169" s="7">
        <f>Table1[[#This Row],[Profit]]/Table1[[#This Row],[Revenue]] *100</f>
        <v>33.333333333333329</v>
      </c>
    </row>
    <row r="170" spans="1:8" x14ac:dyDescent="0.2">
      <c r="A170" t="s">
        <v>7</v>
      </c>
      <c r="B170" t="s">
        <v>19</v>
      </c>
      <c r="C170">
        <v>1878</v>
      </c>
      <c r="D170" s="8">
        <v>84510000</v>
      </c>
      <c r="E170">
        <v>71364000</v>
      </c>
      <c r="F170">
        <v>13146000</v>
      </c>
      <c r="G170" s="1">
        <v>45719</v>
      </c>
      <c r="H170" s="7">
        <f>Table1[[#This Row],[Profit]]/Table1[[#This Row],[Revenue]] *100</f>
        <v>15.555555555555555</v>
      </c>
    </row>
    <row r="171" spans="1:8" x14ac:dyDescent="0.2">
      <c r="A171" t="s">
        <v>20</v>
      </c>
      <c r="B171" t="s">
        <v>23</v>
      </c>
      <c r="C171">
        <v>2158</v>
      </c>
      <c r="D171" s="8">
        <v>10790000</v>
      </c>
      <c r="E171">
        <v>9063600</v>
      </c>
      <c r="F171">
        <v>1726400</v>
      </c>
      <c r="G171" s="1">
        <v>45451</v>
      </c>
      <c r="H171" s="7">
        <f>Table1[[#This Row],[Profit]]/Table1[[#This Row],[Revenue]] *100</f>
        <v>16</v>
      </c>
    </row>
    <row r="172" spans="1:8" x14ac:dyDescent="0.2">
      <c r="A172" t="s">
        <v>16</v>
      </c>
      <c r="B172" t="s">
        <v>10</v>
      </c>
      <c r="C172">
        <v>988</v>
      </c>
      <c r="D172" s="8">
        <v>3458000</v>
      </c>
      <c r="E172">
        <v>2568800</v>
      </c>
      <c r="F172">
        <v>889200</v>
      </c>
      <c r="G172" s="1">
        <v>45440</v>
      </c>
      <c r="H172" s="7">
        <f>Table1[[#This Row],[Profit]]/Table1[[#This Row],[Revenue]] *100</f>
        <v>25.714285714285712</v>
      </c>
    </row>
    <row r="173" spans="1:8" x14ac:dyDescent="0.2">
      <c r="A173" t="s">
        <v>21</v>
      </c>
      <c r="B173" t="s">
        <v>12</v>
      </c>
      <c r="C173">
        <v>759</v>
      </c>
      <c r="D173" s="8">
        <v>910800</v>
      </c>
      <c r="E173">
        <v>645150</v>
      </c>
      <c r="F173">
        <v>265650</v>
      </c>
      <c r="G173" s="1">
        <v>46067</v>
      </c>
      <c r="H173" s="7">
        <f>Table1[[#This Row],[Profit]]/Table1[[#This Row],[Revenue]] *100</f>
        <v>29.166666666666668</v>
      </c>
    </row>
    <row r="174" spans="1:8" x14ac:dyDescent="0.2">
      <c r="A174" t="s">
        <v>13</v>
      </c>
      <c r="B174" t="s">
        <v>14</v>
      </c>
      <c r="C174">
        <v>856</v>
      </c>
      <c r="D174" s="8">
        <v>1027200</v>
      </c>
      <c r="E174">
        <v>684800</v>
      </c>
      <c r="F174">
        <v>342400</v>
      </c>
      <c r="G174" s="1">
        <v>45358</v>
      </c>
      <c r="H174" s="7">
        <f>Table1[[#This Row],[Profit]]/Table1[[#This Row],[Revenue]] *100</f>
        <v>33.333333333333329</v>
      </c>
    </row>
    <row r="175" spans="1:8" x14ac:dyDescent="0.2">
      <c r="A175" t="s">
        <v>21</v>
      </c>
      <c r="B175" t="s">
        <v>14</v>
      </c>
      <c r="C175">
        <v>1513</v>
      </c>
      <c r="D175" s="8">
        <v>1815600</v>
      </c>
      <c r="E175">
        <v>1210400</v>
      </c>
      <c r="F175">
        <v>605200</v>
      </c>
      <c r="G175" s="1">
        <v>46305</v>
      </c>
      <c r="H175" s="7">
        <f>Table1[[#This Row],[Profit]]/Table1[[#This Row],[Revenue]] *100</f>
        <v>33.333333333333329</v>
      </c>
    </row>
    <row r="176" spans="1:8" x14ac:dyDescent="0.2">
      <c r="A176" t="s">
        <v>11</v>
      </c>
      <c r="B176" t="s">
        <v>17</v>
      </c>
      <c r="C176">
        <v>1375</v>
      </c>
      <c r="D176" s="8">
        <v>20625000</v>
      </c>
      <c r="E176">
        <v>15125000</v>
      </c>
      <c r="F176">
        <v>5500000</v>
      </c>
      <c r="G176" s="1">
        <v>45672</v>
      </c>
      <c r="H176" s="7">
        <f>Table1[[#This Row],[Profit]]/Table1[[#This Row],[Revenue]] *100</f>
        <v>26.666666666666668</v>
      </c>
    </row>
    <row r="177" spans="1:8" x14ac:dyDescent="0.2">
      <c r="A177" t="s">
        <v>21</v>
      </c>
      <c r="B177" t="s">
        <v>17</v>
      </c>
      <c r="C177">
        <v>60</v>
      </c>
      <c r="D177" s="8">
        <v>900000</v>
      </c>
      <c r="E177">
        <v>660000</v>
      </c>
      <c r="F177">
        <v>240000</v>
      </c>
      <c r="G177" s="1">
        <v>45349</v>
      </c>
      <c r="H177" s="7">
        <f>Table1[[#This Row],[Profit]]/Table1[[#This Row],[Revenue]] *100</f>
        <v>26.666666666666668</v>
      </c>
    </row>
    <row r="178" spans="1:8" x14ac:dyDescent="0.2">
      <c r="A178" t="s">
        <v>21</v>
      </c>
      <c r="B178" t="s">
        <v>23</v>
      </c>
      <c r="C178">
        <v>1135</v>
      </c>
      <c r="D178" s="8">
        <v>5675000</v>
      </c>
      <c r="E178">
        <v>4767000</v>
      </c>
      <c r="F178">
        <v>908000</v>
      </c>
      <c r="G178" s="1">
        <v>45633</v>
      </c>
      <c r="H178" s="7">
        <f>Table1[[#This Row],[Profit]]/Table1[[#This Row],[Revenue]] *100</f>
        <v>16</v>
      </c>
    </row>
    <row r="179" spans="1:8" x14ac:dyDescent="0.2">
      <c r="A179" t="s">
        <v>20</v>
      </c>
      <c r="B179" t="s">
        <v>10</v>
      </c>
      <c r="C179">
        <v>1918</v>
      </c>
      <c r="D179" s="8">
        <v>6713000</v>
      </c>
      <c r="E179">
        <v>4986800</v>
      </c>
      <c r="F179">
        <v>1726200</v>
      </c>
      <c r="G179" s="1">
        <v>46018</v>
      </c>
      <c r="H179" s="7">
        <f>Table1[[#This Row],[Profit]]/Table1[[#This Row],[Revenue]] *100</f>
        <v>25.714285714285712</v>
      </c>
    </row>
    <row r="180" spans="1:8" x14ac:dyDescent="0.2">
      <c r="A180" t="s">
        <v>20</v>
      </c>
      <c r="B180" t="s">
        <v>23</v>
      </c>
      <c r="C180">
        <v>2323</v>
      </c>
      <c r="D180" s="8">
        <v>11615000</v>
      </c>
      <c r="E180">
        <v>9756600</v>
      </c>
      <c r="F180">
        <v>1858400</v>
      </c>
      <c r="G180" s="1">
        <v>46061</v>
      </c>
      <c r="H180" s="7">
        <f>Table1[[#This Row],[Profit]]/Table1[[#This Row],[Revenue]] *100</f>
        <v>16</v>
      </c>
    </row>
    <row r="181" spans="1:8" x14ac:dyDescent="0.2">
      <c r="A181" t="s">
        <v>18</v>
      </c>
      <c r="B181" t="s">
        <v>19</v>
      </c>
      <c r="C181">
        <v>2661</v>
      </c>
      <c r="D181" s="8">
        <v>119745000</v>
      </c>
      <c r="E181">
        <v>101118000</v>
      </c>
      <c r="F181">
        <v>18627000</v>
      </c>
      <c r="G181" s="1">
        <v>45905</v>
      </c>
      <c r="H181" s="7">
        <f>Table1[[#This Row],[Profit]]/Table1[[#This Row],[Revenue]] *100</f>
        <v>15.555555555555555</v>
      </c>
    </row>
    <row r="182" spans="1:8" x14ac:dyDescent="0.2">
      <c r="A182" t="s">
        <v>7</v>
      </c>
      <c r="B182" t="s">
        <v>19</v>
      </c>
      <c r="C182">
        <v>821</v>
      </c>
      <c r="D182" s="8">
        <v>36945000</v>
      </c>
      <c r="E182">
        <v>31198000</v>
      </c>
      <c r="F182">
        <v>5747000</v>
      </c>
      <c r="G182" s="1">
        <v>45645</v>
      </c>
      <c r="H182" s="7">
        <f>Table1[[#This Row],[Profit]]/Table1[[#This Row],[Revenue]] *100</f>
        <v>15.555555555555555</v>
      </c>
    </row>
    <row r="183" spans="1:8" x14ac:dyDescent="0.2">
      <c r="A183" t="s">
        <v>13</v>
      </c>
      <c r="B183" t="s">
        <v>23</v>
      </c>
      <c r="C183">
        <v>1644</v>
      </c>
      <c r="D183" s="8">
        <v>8220000</v>
      </c>
      <c r="E183">
        <v>6904800</v>
      </c>
      <c r="F183">
        <v>1315200</v>
      </c>
      <c r="G183" s="1">
        <v>45407</v>
      </c>
      <c r="H183" s="7">
        <f>Table1[[#This Row],[Profit]]/Table1[[#This Row],[Revenue]] *100</f>
        <v>16</v>
      </c>
    </row>
    <row r="184" spans="1:8" x14ac:dyDescent="0.2">
      <c r="A184" t="s">
        <v>21</v>
      </c>
      <c r="B184" t="s">
        <v>10</v>
      </c>
      <c r="C184">
        <v>1657</v>
      </c>
      <c r="D184" s="8">
        <v>5799500</v>
      </c>
      <c r="E184">
        <v>4308200</v>
      </c>
      <c r="F184">
        <v>1491300</v>
      </c>
      <c r="G184" s="1">
        <v>45953</v>
      </c>
      <c r="H184" s="7">
        <f>Table1[[#This Row],[Profit]]/Table1[[#This Row],[Revenue]] *100</f>
        <v>25.714285714285712</v>
      </c>
    </row>
    <row r="185" spans="1:8" x14ac:dyDescent="0.2">
      <c r="A185" t="s">
        <v>21</v>
      </c>
      <c r="B185" t="s">
        <v>23</v>
      </c>
      <c r="C185">
        <v>1383</v>
      </c>
      <c r="D185" s="8">
        <v>6915000</v>
      </c>
      <c r="E185">
        <v>5808600</v>
      </c>
      <c r="F185">
        <v>1106400</v>
      </c>
      <c r="G185" s="1">
        <v>45744</v>
      </c>
      <c r="H185" s="7">
        <f>Table1[[#This Row],[Profit]]/Table1[[#This Row],[Revenue]] *100</f>
        <v>16</v>
      </c>
    </row>
    <row r="186" spans="1:8" x14ac:dyDescent="0.2">
      <c r="A186" t="s">
        <v>16</v>
      </c>
      <c r="B186" t="s">
        <v>10</v>
      </c>
      <c r="C186">
        <v>934</v>
      </c>
      <c r="D186" s="8">
        <v>3269000</v>
      </c>
      <c r="E186">
        <v>2428400</v>
      </c>
      <c r="F186">
        <v>840600</v>
      </c>
      <c r="G186" s="1">
        <v>45578</v>
      </c>
      <c r="H186" s="7">
        <f>Table1[[#This Row],[Profit]]/Table1[[#This Row],[Revenue]] *100</f>
        <v>25.714285714285712</v>
      </c>
    </row>
    <row r="187" spans="1:8" x14ac:dyDescent="0.2">
      <c r="A187" t="s">
        <v>20</v>
      </c>
      <c r="B187" t="s">
        <v>10</v>
      </c>
      <c r="C187">
        <v>1439</v>
      </c>
      <c r="D187" s="8">
        <v>5036500</v>
      </c>
      <c r="E187">
        <v>3741400</v>
      </c>
      <c r="F187">
        <v>1295100</v>
      </c>
      <c r="G187" s="1">
        <v>46308</v>
      </c>
      <c r="H187" s="7">
        <f>Table1[[#This Row],[Profit]]/Table1[[#This Row],[Revenue]] *100</f>
        <v>25.714285714285712</v>
      </c>
    </row>
    <row r="188" spans="1:8" x14ac:dyDescent="0.2">
      <c r="A188" t="s">
        <v>13</v>
      </c>
      <c r="B188" t="s">
        <v>8</v>
      </c>
      <c r="C188">
        <v>275</v>
      </c>
      <c r="D188" s="8">
        <v>825000</v>
      </c>
      <c r="E188">
        <v>495000</v>
      </c>
      <c r="F188">
        <v>330000</v>
      </c>
      <c r="G188" s="1">
        <v>45602</v>
      </c>
      <c r="H188" s="7">
        <f>Table1[[#This Row],[Profit]]/Table1[[#This Row],[Revenue]] *100</f>
        <v>40</v>
      </c>
    </row>
    <row r="189" spans="1:8" x14ac:dyDescent="0.2">
      <c r="A189" t="s">
        <v>15</v>
      </c>
      <c r="B189" t="s">
        <v>12</v>
      </c>
      <c r="C189">
        <v>874</v>
      </c>
      <c r="D189" s="8">
        <v>1048800</v>
      </c>
      <c r="E189">
        <v>742900</v>
      </c>
      <c r="F189">
        <v>305900</v>
      </c>
      <c r="G189" s="1">
        <v>45499</v>
      </c>
      <c r="H189" s="7">
        <f>Table1[[#This Row],[Profit]]/Table1[[#This Row],[Revenue]] *100</f>
        <v>29.166666666666668</v>
      </c>
    </row>
    <row r="190" spans="1:8" x14ac:dyDescent="0.2">
      <c r="A190" t="s">
        <v>18</v>
      </c>
      <c r="B190" t="s">
        <v>10</v>
      </c>
      <c r="C190">
        <v>2315</v>
      </c>
      <c r="D190" s="8">
        <v>8102500</v>
      </c>
      <c r="E190">
        <v>6019000</v>
      </c>
      <c r="F190">
        <v>2083500</v>
      </c>
      <c r="G190" s="1">
        <v>45909</v>
      </c>
      <c r="H190" s="7">
        <f>Table1[[#This Row],[Profit]]/Table1[[#This Row],[Revenue]] *100</f>
        <v>25.714285714285712</v>
      </c>
    </row>
    <row r="191" spans="1:8" x14ac:dyDescent="0.2">
      <c r="A191" t="s">
        <v>7</v>
      </c>
      <c r="B191" t="s">
        <v>17</v>
      </c>
      <c r="C191">
        <v>986</v>
      </c>
      <c r="D191" s="8">
        <v>14790000</v>
      </c>
      <c r="E191">
        <v>10846000</v>
      </c>
      <c r="F191">
        <v>3944000</v>
      </c>
      <c r="G191" s="1">
        <v>45737</v>
      </c>
      <c r="H191" s="7">
        <f>Table1[[#This Row],[Profit]]/Table1[[#This Row],[Revenue]] *100</f>
        <v>26.666666666666668</v>
      </c>
    </row>
    <row r="192" spans="1:8" x14ac:dyDescent="0.2">
      <c r="A192" t="s">
        <v>9</v>
      </c>
      <c r="B192" t="s">
        <v>10</v>
      </c>
      <c r="C192">
        <v>2850</v>
      </c>
      <c r="D192" s="8">
        <v>9975000</v>
      </c>
      <c r="E192">
        <v>7410000</v>
      </c>
      <c r="F192">
        <v>2565000</v>
      </c>
      <c r="G192" s="1">
        <v>45961</v>
      </c>
      <c r="H192" s="7">
        <f>Table1[[#This Row],[Profit]]/Table1[[#This Row],[Revenue]] *100</f>
        <v>25.714285714285712</v>
      </c>
    </row>
    <row r="193" spans="1:8" x14ac:dyDescent="0.2">
      <c r="A193" t="s">
        <v>7</v>
      </c>
      <c r="B193" t="s">
        <v>10</v>
      </c>
      <c r="C193">
        <v>2603</v>
      </c>
      <c r="D193" s="8">
        <v>9110500</v>
      </c>
      <c r="E193">
        <v>6767800</v>
      </c>
      <c r="F193">
        <v>2342700</v>
      </c>
      <c r="G193" s="1">
        <v>45924</v>
      </c>
      <c r="H193" s="7">
        <f>Table1[[#This Row],[Profit]]/Table1[[#This Row],[Revenue]] *100</f>
        <v>25.714285714285712</v>
      </c>
    </row>
    <row r="194" spans="1:8" x14ac:dyDescent="0.2">
      <c r="A194" t="s">
        <v>11</v>
      </c>
      <c r="B194" t="s">
        <v>10</v>
      </c>
      <c r="C194">
        <v>2356</v>
      </c>
      <c r="D194" s="8">
        <v>8246000</v>
      </c>
      <c r="E194">
        <v>6125600</v>
      </c>
      <c r="F194">
        <v>2120400</v>
      </c>
      <c r="G194" s="1">
        <v>45346</v>
      </c>
      <c r="H194" s="7">
        <f>Table1[[#This Row],[Profit]]/Table1[[#This Row],[Revenue]] *100</f>
        <v>25.714285714285712</v>
      </c>
    </row>
    <row r="195" spans="1:8" x14ac:dyDescent="0.2">
      <c r="A195" t="s">
        <v>21</v>
      </c>
      <c r="B195" t="s">
        <v>8</v>
      </c>
      <c r="C195">
        <v>1961</v>
      </c>
      <c r="D195" s="8">
        <v>5883000</v>
      </c>
      <c r="E195">
        <v>3529800</v>
      </c>
      <c r="F195">
        <v>2353200</v>
      </c>
      <c r="G195" s="1">
        <v>46203</v>
      </c>
      <c r="H195" s="7">
        <f>Table1[[#This Row],[Profit]]/Table1[[#This Row],[Revenue]] *100</f>
        <v>40</v>
      </c>
    </row>
    <row r="196" spans="1:8" x14ac:dyDescent="0.2">
      <c r="A196" t="s">
        <v>18</v>
      </c>
      <c r="B196" t="s">
        <v>8</v>
      </c>
      <c r="C196">
        <v>1846</v>
      </c>
      <c r="D196" s="8">
        <v>5538000</v>
      </c>
      <c r="E196">
        <v>3322800</v>
      </c>
      <c r="F196">
        <v>2215200</v>
      </c>
      <c r="G196" s="1">
        <v>46327</v>
      </c>
      <c r="H196" s="7">
        <f>Table1[[#This Row],[Profit]]/Table1[[#This Row],[Revenue]] *100</f>
        <v>40</v>
      </c>
    </row>
    <row r="197" spans="1:8" x14ac:dyDescent="0.2">
      <c r="A197" t="s">
        <v>11</v>
      </c>
      <c r="B197" t="s">
        <v>19</v>
      </c>
      <c r="C197">
        <v>103</v>
      </c>
      <c r="D197" s="8">
        <v>4635000</v>
      </c>
      <c r="E197">
        <v>3914000</v>
      </c>
      <c r="F197">
        <v>721000</v>
      </c>
      <c r="G197" s="1">
        <v>45948</v>
      </c>
      <c r="H197" s="7">
        <f>Table1[[#This Row],[Profit]]/Table1[[#This Row],[Revenue]] *100</f>
        <v>15.555555555555555</v>
      </c>
    </row>
    <row r="198" spans="1:8" x14ac:dyDescent="0.2">
      <c r="A198" t="s">
        <v>13</v>
      </c>
      <c r="B198" t="s">
        <v>8</v>
      </c>
      <c r="C198">
        <v>776</v>
      </c>
      <c r="D198" s="8">
        <v>2328000</v>
      </c>
      <c r="E198">
        <v>1396800</v>
      </c>
      <c r="F198">
        <v>931200</v>
      </c>
      <c r="G198" s="1">
        <v>46271</v>
      </c>
      <c r="H198" s="7">
        <f>Table1[[#This Row],[Profit]]/Table1[[#This Row],[Revenue]] *100</f>
        <v>40</v>
      </c>
    </row>
    <row r="199" spans="1:8" x14ac:dyDescent="0.2">
      <c r="A199" t="s">
        <v>9</v>
      </c>
      <c r="B199" t="s">
        <v>17</v>
      </c>
      <c r="C199">
        <v>2786</v>
      </c>
      <c r="D199" s="8">
        <v>41790000</v>
      </c>
      <c r="E199">
        <v>30646000</v>
      </c>
      <c r="F199">
        <v>11144000</v>
      </c>
      <c r="G199" s="1">
        <v>45806</v>
      </c>
      <c r="H199" s="7">
        <f>Table1[[#This Row],[Profit]]/Table1[[#This Row],[Revenue]] *100</f>
        <v>26.666666666666668</v>
      </c>
    </row>
    <row r="200" spans="1:8" x14ac:dyDescent="0.2">
      <c r="A200" t="s">
        <v>20</v>
      </c>
      <c r="B200" t="s">
        <v>17</v>
      </c>
      <c r="C200">
        <v>1594</v>
      </c>
      <c r="D200" s="8">
        <v>23910000</v>
      </c>
      <c r="E200">
        <v>17534000</v>
      </c>
      <c r="F200">
        <v>6376000</v>
      </c>
      <c r="G200" s="1">
        <v>45528</v>
      </c>
      <c r="H200" s="7">
        <f>Table1[[#This Row],[Profit]]/Table1[[#This Row],[Revenue]] *100</f>
        <v>26.666666666666668</v>
      </c>
    </row>
    <row r="201" spans="1:8" x14ac:dyDescent="0.2">
      <c r="A201" t="s">
        <v>18</v>
      </c>
      <c r="B201" t="s">
        <v>8</v>
      </c>
      <c r="C201">
        <v>1093</v>
      </c>
      <c r="D201" s="8">
        <v>3279000</v>
      </c>
      <c r="E201">
        <v>1967400</v>
      </c>
      <c r="F201">
        <v>1311600</v>
      </c>
      <c r="G201" s="1">
        <v>45639</v>
      </c>
      <c r="H201" s="7">
        <f>Table1[[#This Row],[Profit]]/Table1[[#This Row],[Revenue]] *100</f>
        <v>40</v>
      </c>
    </row>
    <row r="202" spans="1:8" x14ac:dyDescent="0.2">
      <c r="A202" t="s">
        <v>18</v>
      </c>
      <c r="B202" t="s">
        <v>23</v>
      </c>
      <c r="C202">
        <v>1963</v>
      </c>
      <c r="D202" s="8">
        <v>9815000</v>
      </c>
      <c r="E202">
        <v>8244600</v>
      </c>
      <c r="F202">
        <v>1570400</v>
      </c>
      <c r="G202" s="1">
        <v>45918</v>
      </c>
      <c r="H202" s="7">
        <f>Table1[[#This Row],[Profit]]/Table1[[#This Row],[Revenue]] *100</f>
        <v>16</v>
      </c>
    </row>
    <row r="203" spans="1:8" x14ac:dyDescent="0.2">
      <c r="A203" t="s">
        <v>21</v>
      </c>
      <c r="B203" t="s">
        <v>12</v>
      </c>
      <c r="C203">
        <v>1826</v>
      </c>
      <c r="D203" s="8">
        <v>2191200</v>
      </c>
      <c r="E203">
        <v>1552100</v>
      </c>
      <c r="F203">
        <v>639100</v>
      </c>
      <c r="G203" s="1">
        <v>45921</v>
      </c>
      <c r="H203" s="7">
        <f>Table1[[#This Row],[Profit]]/Table1[[#This Row],[Revenue]] *100</f>
        <v>29.166666666666668</v>
      </c>
    </row>
    <row r="204" spans="1:8" x14ac:dyDescent="0.2">
      <c r="A204" t="s">
        <v>22</v>
      </c>
      <c r="B204" t="s">
        <v>8</v>
      </c>
      <c r="C204">
        <v>1646</v>
      </c>
      <c r="D204" s="8">
        <v>4938000</v>
      </c>
      <c r="E204">
        <v>2962800</v>
      </c>
      <c r="F204">
        <v>1975200</v>
      </c>
      <c r="G204" s="1">
        <v>45655</v>
      </c>
      <c r="H204" s="7">
        <f>Table1[[#This Row],[Profit]]/Table1[[#This Row],[Revenue]] *100</f>
        <v>40</v>
      </c>
    </row>
    <row r="205" spans="1:8" x14ac:dyDescent="0.2">
      <c r="A205" t="s">
        <v>18</v>
      </c>
      <c r="B205" t="s">
        <v>10</v>
      </c>
      <c r="C205">
        <v>1964</v>
      </c>
      <c r="D205" s="8">
        <v>6874000</v>
      </c>
      <c r="E205">
        <v>5106400</v>
      </c>
      <c r="F205">
        <v>1767600</v>
      </c>
      <c r="G205" s="1">
        <v>45612</v>
      </c>
      <c r="H205" s="7">
        <f>Table1[[#This Row],[Profit]]/Table1[[#This Row],[Revenue]] *100</f>
        <v>25.714285714285712</v>
      </c>
    </row>
    <row r="206" spans="1:8" x14ac:dyDescent="0.2">
      <c r="A206" t="s">
        <v>16</v>
      </c>
      <c r="B206" t="s">
        <v>14</v>
      </c>
      <c r="C206">
        <v>2516</v>
      </c>
      <c r="D206" s="8">
        <v>3019200</v>
      </c>
      <c r="E206">
        <v>2012800</v>
      </c>
      <c r="F206">
        <v>1006400</v>
      </c>
      <c r="G206" s="1">
        <v>45577</v>
      </c>
      <c r="H206" s="7">
        <f>Table1[[#This Row],[Profit]]/Table1[[#This Row],[Revenue]] *100</f>
        <v>33.333333333333329</v>
      </c>
    </row>
    <row r="207" spans="1:8" x14ac:dyDescent="0.2">
      <c r="A207" t="s">
        <v>9</v>
      </c>
      <c r="B207" t="s">
        <v>12</v>
      </c>
      <c r="C207">
        <v>2787</v>
      </c>
      <c r="D207" s="8">
        <v>3344400</v>
      </c>
      <c r="E207">
        <v>2368950</v>
      </c>
      <c r="F207">
        <v>975450</v>
      </c>
      <c r="G207" s="1">
        <v>45440</v>
      </c>
      <c r="H207" s="7">
        <f>Table1[[#This Row],[Profit]]/Table1[[#This Row],[Revenue]] *100</f>
        <v>29.166666666666668</v>
      </c>
    </row>
    <row r="208" spans="1:8" x14ac:dyDescent="0.2">
      <c r="A208" t="s">
        <v>9</v>
      </c>
      <c r="B208" t="s">
        <v>12</v>
      </c>
      <c r="C208">
        <v>899</v>
      </c>
      <c r="D208" s="8">
        <v>1078800</v>
      </c>
      <c r="E208">
        <v>764150</v>
      </c>
      <c r="F208">
        <v>314650</v>
      </c>
      <c r="G208" s="1">
        <v>45697</v>
      </c>
      <c r="H208" s="7">
        <f>Table1[[#This Row],[Profit]]/Table1[[#This Row],[Revenue]] *100</f>
        <v>29.166666666666668</v>
      </c>
    </row>
    <row r="209" spans="1:8" x14ac:dyDescent="0.2">
      <c r="A209" t="s">
        <v>16</v>
      </c>
      <c r="B209" t="s">
        <v>17</v>
      </c>
      <c r="C209">
        <v>2159</v>
      </c>
      <c r="D209" s="8">
        <v>32385000</v>
      </c>
      <c r="E209">
        <v>23749000</v>
      </c>
      <c r="F209">
        <v>8636000</v>
      </c>
      <c r="G209" s="1">
        <v>46269</v>
      </c>
      <c r="H209" s="7">
        <f>Table1[[#This Row],[Profit]]/Table1[[#This Row],[Revenue]] *100</f>
        <v>26.666666666666668</v>
      </c>
    </row>
    <row r="210" spans="1:8" x14ac:dyDescent="0.2">
      <c r="A210" t="s">
        <v>15</v>
      </c>
      <c r="B210" t="s">
        <v>12</v>
      </c>
      <c r="C210">
        <v>2313</v>
      </c>
      <c r="D210" s="8">
        <v>2775600</v>
      </c>
      <c r="E210">
        <v>1966050</v>
      </c>
      <c r="F210">
        <v>809550</v>
      </c>
      <c r="G210" s="1">
        <v>45747</v>
      </c>
      <c r="H210" s="7">
        <f>Table1[[#This Row],[Profit]]/Table1[[#This Row],[Revenue]] *100</f>
        <v>29.166666666666668</v>
      </c>
    </row>
    <row r="211" spans="1:8" x14ac:dyDescent="0.2">
      <c r="A211" t="s">
        <v>16</v>
      </c>
      <c r="B211" t="s">
        <v>8</v>
      </c>
      <c r="C211">
        <v>52</v>
      </c>
      <c r="D211" s="8">
        <v>156000</v>
      </c>
      <c r="E211">
        <v>93600</v>
      </c>
      <c r="F211">
        <v>62400</v>
      </c>
      <c r="G211" s="1">
        <v>46091</v>
      </c>
      <c r="H211" s="7">
        <f>Table1[[#This Row],[Profit]]/Table1[[#This Row],[Revenue]] *100</f>
        <v>40</v>
      </c>
    </row>
    <row r="212" spans="1:8" x14ac:dyDescent="0.2">
      <c r="A212" t="s">
        <v>16</v>
      </c>
      <c r="B212" t="s">
        <v>10</v>
      </c>
      <c r="C212">
        <v>209</v>
      </c>
      <c r="D212" s="8">
        <v>731500</v>
      </c>
      <c r="E212">
        <v>543400</v>
      </c>
      <c r="F212">
        <v>188100</v>
      </c>
      <c r="G212" s="1">
        <v>46304</v>
      </c>
      <c r="H212" s="7">
        <f>Table1[[#This Row],[Profit]]/Table1[[#This Row],[Revenue]] *100</f>
        <v>25.714285714285712</v>
      </c>
    </row>
    <row r="213" spans="1:8" x14ac:dyDescent="0.2">
      <c r="A213" t="s">
        <v>9</v>
      </c>
      <c r="B213" t="s">
        <v>10</v>
      </c>
      <c r="C213">
        <v>830</v>
      </c>
      <c r="D213" s="8">
        <v>2905000</v>
      </c>
      <c r="E213">
        <v>2158000</v>
      </c>
      <c r="F213">
        <v>747000</v>
      </c>
      <c r="G213" s="1">
        <v>46075</v>
      </c>
      <c r="H213" s="7">
        <f>Table1[[#This Row],[Profit]]/Table1[[#This Row],[Revenue]] *100</f>
        <v>25.714285714285712</v>
      </c>
    </row>
    <row r="214" spans="1:8" x14ac:dyDescent="0.2">
      <c r="A214" t="s">
        <v>7</v>
      </c>
      <c r="B214" t="s">
        <v>19</v>
      </c>
      <c r="C214">
        <v>942</v>
      </c>
      <c r="D214" s="8">
        <v>42390000</v>
      </c>
      <c r="E214">
        <v>35796000</v>
      </c>
      <c r="F214">
        <v>6594000</v>
      </c>
      <c r="G214" s="1">
        <v>45751</v>
      </c>
      <c r="H214" s="7">
        <f>Table1[[#This Row],[Profit]]/Table1[[#This Row],[Revenue]] *100</f>
        <v>15.555555555555555</v>
      </c>
    </row>
    <row r="215" spans="1:8" x14ac:dyDescent="0.2">
      <c r="A215" t="s">
        <v>9</v>
      </c>
      <c r="B215" t="s">
        <v>10</v>
      </c>
      <c r="C215">
        <v>2080</v>
      </c>
      <c r="D215" s="8">
        <v>7280000</v>
      </c>
      <c r="E215">
        <v>5408000</v>
      </c>
      <c r="F215">
        <v>1872000</v>
      </c>
      <c r="G215" s="1">
        <v>46029</v>
      </c>
      <c r="H215" s="7">
        <f>Table1[[#This Row],[Profit]]/Table1[[#This Row],[Revenue]] *100</f>
        <v>25.714285714285712</v>
      </c>
    </row>
    <row r="216" spans="1:8" x14ac:dyDescent="0.2">
      <c r="A216" t="s">
        <v>22</v>
      </c>
      <c r="B216" t="s">
        <v>10</v>
      </c>
      <c r="C216">
        <v>2426</v>
      </c>
      <c r="D216" s="8">
        <v>8491000</v>
      </c>
      <c r="E216">
        <v>6307600</v>
      </c>
      <c r="F216">
        <v>2183400</v>
      </c>
      <c r="G216" s="1">
        <v>45800</v>
      </c>
      <c r="H216" s="7">
        <f>Table1[[#This Row],[Profit]]/Table1[[#This Row],[Revenue]] *100</f>
        <v>25.714285714285712</v>
      </c>
    </row>
    <row r="217" spans="1:8" x14ac:dyDescent="0.2">
      <c r="A217" t="s">
        <v>21</v>
      </c>
      <c r="B217" t="s">
        <v>17</v>
      </c>
      <c r="C217">
        <v>629</v>
      </c>
      <c r="D217" s="8">
        <v>9435000</v>
      </c>
      <c r="E217">
        <v>6919000</v>
      </c>
      <c r="F217">
        <v>2516000</v>
      </c>
      <c r="G217" s="1">
        <v>45772</v>
      </c>
      <c r="H217" s="7">
        <f>Table1[[#This Row],[Profit]]/Table1[[#This Row],[Revenue]] *100</f>
        <v>26.666666666666668</v>
      </c>
    </row>
    <row r="218" spans="1:8" x14ac:dyDescent="0.2">
      <c r="A218" t="s">
        <v>11</v>
      </c>
      <c r="B218" t="s">
        <v>10</v>
      </c>
      <c r="C218">
        <v>1983</v>
      </c>
      <c r="D218" s="8">
        <v>6940500</v>
      </c>
      <c r="E218">
        <v>5155800</v>
      </c>
      <c r="F218">
        <v>1784700</v>
      </c>
      <c r="G218" s="1">
        <v>45405</v>
      </c>
      <c r="H218" s="7">
        <f>Table1[[#This Row],[Profit]]/Table1[[#This Row],[Revenue]] *100</f>
        <v>25.714285714285712</v>
      </c>
    </row>
    <row r="219" spans="1:8" x14ac:dyDescent="0.2">
      <c r="A219" t="s">
        <v>7</v>
      </c>
      <c r="B219" t="s">
        <v>19</v>
      </c>
      <c r="C219">
        <v>1430</v>
      </c>
      <c r="D219" s="8">
        <v>64350000</v>
      </c>
      <c r="E219">
        <v>54340000</v>
      </c>
      <c r="F219">
        <v>10010000</v>
      </c>
      <c r="G219" s="1">
        <v>46040</v>
      </c>
      <c r="H219" s="7">
        <f>Table1[[#This Row],[Profit]]/Table1[[#This Row],[Revenue]] *100</f>
        <v>15.555555555555555</v>
      </c>
    </row>
    <row r="220" spans="1:8" x14ac:dyDescent="0.2">
      <c r="A220" t="s">
        <v>20</v>
      </c>
      <c r="B220" t="s">
        <v>14</v>
      </c>
      <c r="C220">
        <v>1340</v>
      </c>
      <c r="D220" s="8">
        <v>1608000</v>
      </c>
      <c r="E220">
        <v>1072000</v>
      </c>
      <c r="F220">
        <v>536000</v>
      </c>
      <c r="G220" s="1">
        <v>45652</v>
      </c>
      <c r="H220" s="7">
        <f>Table1[[#This Row],[Profit]]/Table1[[#This Row],[Revenue]] *100</f>
        <v>33.333333333333329</v>
      </c>
    </row>
    <row r="221" spans="1:8" x14ac:dyDescent="0.2">
      <c r="A221" t="s">
        <v>11</v>
      </c>
      <c r="B221" t="s">
        <v>8</v>
      </c>
      <c r="C221">
        <v>1690</v>
      </c>
      <c r="D221" s="8">
        <v>5070000</v>
      </c>
      <c r="E221">
        <v>3042000</v>
      </c>
      <c r="F221">
        <v>2028000</v>
      </c>
      <c r="G221" s="1">
        <v>45632</v>
      </c>
      <c r="H221" s="7">
        <f>Table1[[#This Row],[Profit]]/Table1[[#This Row],[Revenue]] *100</f>
        <v>40</v>
      </c>
    </row>
    <row r="222" spans="1:8" x14ac:dyDescent="0.2">
      <c r="A222" t="s">
        <v>21</v>
      </c>
      <c r="B222" t="s">
        <v>17</v>
      </c>
      <c r="C222">
        <v>1001</v>
      </c>
      <c r="D222" s="8">
        <v>15015000</v>
      </c>
      <c r="E222">
        <v>11011000</v>
      </c>
      <c r="F222">
        <v>4004000</v>
      </c>
      <c r="G222" s="1">
        <v>46061</v>
      </c>
      <c r="H222" s="7">
        <f>Table1[[#This Row],[Profit]]/Table1[[#This Row],[Revenue]] *100</f>
        <v>26.666666666666668</v>
      </c>
    </row>
    <row r="223" spans="1:8" x14ac:dyDescent="0.2">
      <c r="A223" t="s">
        <v>22</v>
      </c>
      <c r="B223" t="s">
        <v>14</v>
      </c>
      <c r="C223">
        <v>2732</v>
      </c>
      <c r="D223" s="8">
        <v>3278400</v>
      </c>
      <c r="E223">
        <v>2185600</v>
      </c>
      <c r="F223">
        <v>1092800</v>
      </c>
      <c r="G223" s="1">
        <v>46052</v>
      </c>
      <c r="H223" s="7">
        <f>Table1[[#This Row],[Profit]]/Table1[[#This Row],[Revenue]] *100</f>
        <v>33.333333333333329</v>
      </c>
    </row>
    <row r="224" spans="1:8" x14ac:dyDescent="0.2">
      <c r="A224" t="s">
        <v>22</v>
      </c>
      <c r="B224" t="s">
        <v>17</v>
      </c>
      <c r="C224">
        <v>1037</v>
      </c>
      <c r="D224" s="8">
        <v>15555000</v>
      </c>
      <c r="E224">
        <v>11407000</v>
      </c>
      <c r="F224">
        <v>4148000</v>
      </c>
      <c r="G224" s="1">
        <v>46260</v>
      </c>
      <c r="H224" s="7">
        <f>Table1[[#This Row],[Profit]]/Table1[[#This Row],[Revenue]] *100</f>
        <v>26.666666666666668</v>
      </c>
    </row>
    <row r="225" spans="1:8" x14ac:dyDescent="0.2">
      <c r="A225" t="s">
        <v>20</v>
      </c>
      <c r="B225" t="s">
        <v>23</v>
      </c>
      <c r="C225">
        <v>1268</v>
      </c>
      <c r="D225" s="8">
        <v>6340000</v>
      </c>
      <c r="E225">
        <v>5325600</v>
      </c>
      <c r="F225">
        <v>1014400</v>
      </c>
      <c r="G225" s="1">
        <v>45740</v>
      </c>
      <c r="H225" s="7">
        <f>Table1[[#This Row],[Profit]]/Table1[[#This Row],[Revenue]] *100</f>
        <v>16</v>
      </c>
    </row>
    <row r="226" spans="1:8" x14ac:dyDescent="0.2">
      <c r="A226" t="s">
        <v>7</v>
      </c>
      <c r="B226" t="s">
        <v>12</v>
      </c>
      <c r="C226">
        <v>970</v>
      </c>
      <c r="D226" s="8">
        <v>1164000</v>
      </c>
      <c r="E226">
        <v>824500</v>
      </c>
      <c r="F226">
        <v>339500</v>
      </c>
      <c r="G226" s="1">
        <v>46126</v>
      </c>
      <c r="H226" s="7">
        <f>Table1[[#This Row],[Profit]]/Table1[[#This Row],[Revenue]] *100</f>
        <v>29.166666666666668</v>
      </c>
    </row>
    <row r="227" spans="1:8" x14ac:dyDescent="0.2">
      <c r="A227" t="s">
        <v>15</v>
      </c>
      <c r="B227" t="s">
        <v>23</v>
      </c>
      <c r="C227">
        <v>2835</v>
      </c>
      <c r="D227" s="8">
        <v>14175000</v>
      </c>
      <c r="E227">
        <v>11907000</v>
      </c>
      <c r="F227">
        <v>2268000</v>
      </c>
      <c r="G227" s="1">
        <v>45602</v>
      </c>
      <c r="H227" s="7">
        <f>Table1[[#This Row],[Profit]]/Table1[[#This Row],[Revenue]] *100</f>
        <v>16</v>
      </c>
    </row>
    <row r="228" spans="1:8" x14ac:dyDescent="0.2">
      <c r="A228" t="s">
        <v>16</v>
      </c>
      <c r="B228" t="s">
        <v>10</v>
      </c>
      <c r="C228">
        <v>1405</v>
      </c>
      <c r="D228" s="8">
        <v>4917500</v>
      </c>
      <c r="E228">
        <v>3653000</v>
      </c>
      <c r="F228">
        <v>1264500</v>
      </c>
      <c r="G228" s="1">
        <v>45553</v>
      </c>
      <c r="H228" s="7">
        <f>Table1[[#This Row],[Profit]]/Table1[[#This Row],[Revenue]] *100</f>
        <v>25.714285714285712</v>
      </c>
    </row>
    <row r="229" spans="1:8" x14ac:dyDescent="0.2">
      <c r="A229" t="s">
        <v>7</v>
      </c>
      <c r="B229" t="s">
        <v>14</v>
      </c>
      <c r="C229">
        <v>219</v>
      </c>
      <c r="D229" s="8">
        <v>262800</v>
      </c>
      <c r="E229">
        <v>175200</v>
      </c>
      <c r="F229">
        <v>87600</v>
      </c>
      <c r="G229" s="1">
        <v>45697</v>
      </c>
      <c r="H229" s="7">
        <f>Table1[[#This Row],[Profit]]/Table1[[#This Row],[Revenue]] *100</f>
        <v>33.333333333333329</v>
      </c>
    </row>
    <row r="230" spans="1:8" x14ac:dyDescent="0.2">
      <c r="A230" t="s">
        <v>15</v>
      </c>
      <c r="B230" t="s">
        <v>10</v>
      </c>
      <c r="C230">
        <v>570</v>
      </c>
      <c r="D230" s="8">
        <v>1995000</v>
      </c>
      <c r="E230">
        <v>1482000</v>
      </c>
      <c r="F230">
        <v>513000</v>
      </c>
      <c r="G230" s="1">
        <v>45434</v>
      </c>
      <c r="H230" s="7">
        <f>Table1[[#This Row],[Profit]]/Table1[[#This Row],[Revenue]] *100</f>
        <v>25.714285714285712</v>
      </c>
    </row>
    <row r="231" spans="1:8" x14ac:dyDescent="0.2">
      <c r="A231" t="s">
        <v>22</v>
      </c>
      <c r="B231" t="s">
        <v>12</v>
      </c>
      <c r="C231">
        <v>1536</v>
      </c>
      <c r="D231" s="8">
        <v>1843200</v>
      </c>
      <c r="E231">
        <v>1305600</v>
      </c>
      <c r="F231">
        <v>537600</v>
      </c>
      <c r="G231" s="1">
        <v>45633</v>
      </c>
      <c r="H231" s="7">
        <f>Table1[[#This Row],[Profit]]/Table1[[#This Row],[Revenue]] *100</f>
        <v>29.166666666666668</v>
      </c>
    </row>
    <row r="232" spans="1:8" x14ac:dyDescent="0.2">
      <c r="A232" t="s">
        <v>9</v>
      </c>
      <c r="B232" t="s">
        <v>17</v>
      </c>
      <c r="C232">
        <v>89</v>
      </c>
      <c r="D232" s="8">
        <v>1335000</v>
      </c>
      <c r="E232">
        <v>979000</v>
      </c>
      <c r="F232">
        <v>356000</v>
      </c>
      <c r="G232" s="1">
        <v>45535</v>
      </c>
      <c r="H232" s="7">
        <f>Table1[[#This Row],[Profit]]/Table1[[#This Row],[Revenue]] *100</f>
        <v>26.666666666666668</v>
      </c>
    </row>
    <row r="233" spans="1:8" x14ac:dyDescent="0.2">
      <c r="A233" t="s">
        <v>21</v>
      </c>
      <c r="B233" t="s">
        <v>12</v>
      </c>
      <c r="C233">
        <v>1610</v>
      </c>
      <c r="D233" s="8">
        <v>1932000</v>
      </c>
      <c r="E233">
        <v>1368500</v>
      </c>
      <c r="F233">
        <v>563500</v>
      </c>
      <c r="G233" s="1">
        <v>45781</v>
      </c>
      <c r="H233" s="7">
        <f>Table1[[#This Row],[Profit]]/Table1[[#This Row],[Revenue]] *100</f>
        <v>29.166666666666668</v>
      </c>
    </row>
    <row r="234" spans="1:8" x14ac:dyDescent="0.2">
      <c r="A234" t="s">
        <v>20</v>
      </c>
      <c r="B234" t="s">
        <v>19</v>
      </c>
      <c r="C234">
        <v>1468</v>
      </c>
      <c r="D234" s="8">
        <v>66060000</v>
      </c>
      <c r="E234">
        <v>55784000</v>
      </c>
      <c r="F234">
        <v>10276000</v>
      </c>
      <c r="G234" s="1">
        <v>45303</v>
      </c>
      <c r="H234" s="7">
        <f>Table1[[#This Row],[Profit]]/Table1[[#This Row],[Revenue]] *100</f>
        <v>15.555555555555555</v>
      </c>
    </row>
    <row r="235" spans="1:8" x14ac:dyDescent="0.2">
      <c r="A235" t="s">
        <v>21</v>
      </c>
      <c r="B235" t="s">
        <v>12</v>
      </c>
      <c r="C235">
        <v>1004</v>
      </c>
      <c r="D235" s="8">
        <v>1204800</v>
      </c>
      <c r="E235">
        <v>853400</v>
      </c>
      <c r="F235">
        <v>351400</v>
      </c>
      <c r="G235" s="1">
        <v>45852</v>
      </c>
      <c r="H235" s="7">
        <f>Table1[[#This Row],[Profit]]/Table1[[#This Row],[Revenue]] *100</f>
        <v>29.166666666666668</v>
      </c>
    </row>
    <row r="236" spans="1:8" x14ac:dyDescent="0.2">
      <c r="A236" t="s">
        <v>13</v>
      </c>
      <c r="B236" t="s">
        <v>19</v>
      </c>
      <c r="C236">
        <v>1033</v>
      </c>
      <c r="D236" s="8">
        <v>46485000</v>
      </c>
      <c r="E236">
        <v>39254000</v>
      </c>
      <c r="F236">
        <v>7231000</v>
      </c>
      <c r="G236" s="1">
        <v>45333</v>
      </c>
      <c r="H236" s="7">
        <f>Table1[[#This Row],[Profit]]/Table1[[#This Row],[Revenue]] *100</f>
        <v>15.555555555555555</v>
      </c>
    </row>
    <row r="237" spans="1:8" x14ac:dyDescent="0.2">
      <c r="A237" t="s">
        <v>13</v>
      </c>
      <c r="B237" t="s">
        <v>12</v>
      </c>
      <c r="C237">
        <v>1024</v>
      </c>
      <c r="D237" s="8">
        <v>1228800</v>
      </c>
      <c r="E237">
        <v>870400</v>
      </c>
      <c r="F237">
        <v>358400</v>
      </c>
      <c r="G237" s="1">
        <v>45969</v>
      </c>
      <c r="H237" s="7">
        <f>Table1[[#This Row],[Profit]]/Table1[[#This Row],[Revenue]] *100</f>
        <v>29.166666666666668</v>
      </c>
    </row>
    <row r="238" spans="1:8" x14ac:dyDescent="0.2">
      <c r="A238" t="s">
        <v>7</v>
      </c>
      <c r="B238" t="s">
        <v>8</v>
      </c>
      <c r="C238">
        <v>87</v>
      </c>
      <c r="D238" s="8">
        <v>261000</v>
      </c>
      <c r="E238">
        <v>156600</v>
      </c>
      <c r="F238">
        <v>104400</v>
      </c>
      <c r="G238" s="1">
        <v>45885</v>
      </c>
      <c r="H238" s="7">
        <f>Table1[[#This Row],[Profit]]/Table1[[#This Row],[Revenue]] *100</f>
        <v>40</v>
      </c>
    </row>
    <row r="239" spans="1:8" x14ac:dyDescent="0.2">
      <c r="A239" t="s">
        <v>22</v>
      </c>
      <c r="B239" t="s">
        <v>19</v>
      </c>
      <c r="C239">
        <v>2425</v>
      </c>
      <c r="D239" s="8">
        <v>109125000</v>
      </c>
      <c r="E239">
        <v>92150000</v>
      </c>
      <c r="F239">
        <v>16975000</v>
      </c>
      <c r="G239" s="1">
        <v>45425</v>
      </c>
      <c r="H239" s="7">
        <f>Table1[[#This Row],[Profit]]/Table1[[#This Row],[Revenue]] *100</f>
        <v>15.555555555555555</v>
      </c>
    </row>
    <row r="240" spans="1:8" x14ac:dyDescent="0.2">
      <c r="A240" t="s">
        <v>22</v>
      </c>
      <c r="B240" t="s">
        <v>14</v>
      </c>
      <c r="C240">
        <v>1324</v>
      </c>
      <c r="D240" s="8">
        <v>1588800</v>
      </c>
      <c r="E240">
        <v>1059200</v>
      </c>
      <c r="F240">
        <v>529600</v>
      </c>
      <c r="G240" s="1">
        <v>46382</v>
      </c>
      <c r="H240" s="7">
        <f>Table1[[#This Row],[Profit]]/Table1[[#This Row],[Revenue]] *100</f>
        <v>33.333333333333329</v>
      </c>
    </row>
    <row r="241" spans="1:8" x14ac:dyDescent="0.2">
      <c r="A241" t="s">
        <v>16</v>
      </c>
      <c r="B241" t="s">
        <v>10</v>
      </c>
      <c r="C241">
        <v>1249</v>
      </c>
      <c r="D241" s="8">
        <v>4371500</v>
      </c>
      <c r="E241">
        <v>3247400</v>
      </c>
      <c r="F241">
        <v>1124100</v>
      </c>
      <c r="G241" s="1">
        <v>46322</v>
      </c>
      <c r="H241" s="7">
        <f>Table1[[#This Row],[Profit]]/Table1[[#This Row],[Revenue]] *100</f>
        <v>25.714285714285712</v>
      </c>
    </row>
    <row r="242" spans="1:8" x14ac:dyDescent="0.2">
      <c r="A242" t="s">
        <v>16</v>
      </c>
      <c r="B242" t="s">
        <v>10</v>
      </c>
      <c r="C242">
        <v>1675</v>
      </c>
      <c r="D242" s="8">
        <v>5862500</v>
      </c>
      <c r="E242">
        <v>4355000</v>
      </c>
      <c r="F242">
        <v>1507500</v>
      </c>
      <c r="G242" s="1">
        <v>46239</v>
      </c>
      <c r="H242" s="7">
        <f>Table1[[#This Row],[Profit]]/Table1[[#This Row],[Revenue]] *100</f>
        <v>25.714285714285712</v>
      </c>
    </row>
    <row r="243" spans="1:8" x14ac:dyDescent="0.2">
      <c r="A243" t="s">
        <v>16</v>
      </c>
      <c r="B243" t="s">
        <v>23</v>
      </c>
      <c r="C243">
        <v>963</v>
      </c>
      <c r="D243" s="8">
        <v>4815000</v>
      </c>
      <c r="E243">
        <v>4044600</v>
      </c>
      <c r="F243">
        <v>770400</v>
      </c>
      <c r="G243" s="1">
        <v>45364</v>
      </c>
      <c r="H243" s="7">
        <f>Table1[[#This Row],[Profit]]/Table1[[#This Row],[Revenue]] *100</f>
        <v>16</v>
      </c>
    </row>
    <row r="244" spans="1:8" x14ac:dyDescent="0.2">
      <c r="A244" t="s">
        <v>9</v>
      </c>
      <c r="B244" t="s">
        <v>10</v>
      </c>
      <c r="C244">
        <v>503</v>
      </c>
      <c r="D244" s="8">
        <v>1760500</v>
      </c>
      <c r="E244">
        <v>1307800</v>
      </c>
      <c r="F244">
        <v>452700</v>
      </c>
      <c r="G244" s="1">
        <v>45690</v>
      </c>
      <c r="H244" s="7">
        <f>Table1[[#This Row],[Profit]]/Table1[[#This Row],[Revenue]] *100</f>
        <v>25.714285714285712</v>
      </c>
    </row>
    <row r="245" spans="1:8" x14ac:dyDescent="0.2">
      <c r="A245" t="s">
        <v>11</v>
      </c>
      <c r="B245" t="s">
        <v>17</v>
      </c>
      <c r="C245">
        <v>86</v>
      </c>
      <c r="D245" s="8">
        <v>1290000</v>
      </c>
      <c r="E245">
        <v>946000</v>
      </c>
      <c r="F245">
        <v>344000</v>
      </c>
      <c r="G245" s="1">
        <v>45869</v>
      </c>
      <c r="H245" s="7">
        <f>Table1[[#This Row],[Profit]]/Table1[[#This Row],[Revenue]] *100</f>
        <v>26.666666666666668</v>
      </c>
    </row>
    <row r="246" spans="1:8" x14ac:dyDescent="0.2">
      <c r="A246" t="s">
        <v>18</v>
      </c>
      <c r="B246" t="s">
        <v>8</v>
      </c>
      <c r="C246">
        <v>1761</v>
      </c>
      <c r="D246" s="8">
        <v>5283000</v>
      </c>
      <c r="E246">
        <v>3169800</v>
      </c>
      <c r="F246">
        <v>2113200</v>
      </c>
      <c r="G246" s="1">
        <v>46150</v>
      </c>
      <c r="H246" s="7">
        <f>Table1[[#This Row],[Profit]]/Table1[[#This Row],[Revenue]] *100</f>
        <v>40</v>
      </c>
    </row>
    <row r="247" spans="1:8" x14ac:dyDescent="0.2">
      <c r="A247" t="s">
        <v>11</v>
      </c>
      <c r="B247" t="s">
        <v>12</v>
      </c>
      <c r="C247">
        <v>845</v>
      </c>
      <c r="D247" s="8">
        <v>1014000</v>
      </c>
      <c r="E247">
        <v>718250</v>
      </c>
      <c r="F247">
        <v>295750</v>
      </c>
      <c r="G247" s="1">
        <v>45421</v>
      </c>
      <c r="H247" s="7">
        <f>Table1[[#This Row],[Profit]]/Table1[[#This Row],[Revenue]] *100</f>
        <v>29.166666666666668</v>
      </c>
    </row>
    <row r="248" spans="1:8" x14ac:dyDescent="0.2">
      <c r="A248" t="s">
        <v>21</v>
      </c>
      <c r="B248" t="s">
        <v>23</v>
      </c>
      <c r="C248">
        <v>1022</v>
      </c>
      <c r="D248" s="8">
        <v>5110000</v>
      </c>
      <c r="E248">
        <v>4292400</v>
      </c>
      <c r="F248">
        <v>817600</v>
      </c>
      <c r="G248" s="1">
        <v>46222</v>
      </c>
      <c r="H248" s="7">
        <f>Table1[[#This Row],[Profit]]/Table1[[#This Row],[Revenue]] *100</f>
        <v>16</v>
      </c>
    </row>
    <row r="249" spans="1:8" x14ac:dyDescent="0.2">
      <c r="A249" t="s">
        <v>11</v>
      </c>
      <c r="B249" t="s">
        <v>17</v>
      </c>
      <c r="C249">
        <v>642</v>
      </c>
      <c r="D249" s="8">
        <v>9630000</v>
      </c>
      <c r="E249">
        <v>7062000</v>
      </c>
      <c r="F249">
        <v>2568000</v>
      </c>
      <c r="G249" s="1">
        <v>45557</v>
      </c>
      <c r="H249" s="7">
        <f>Table1[[#This Row],[Profit]]/Table1[[#This Row],[Revenue]] *100</f>
        <v>26.666666666666668</v>
      </c>
    </row>
    <row r="250" spans="1:8" x14ac:dyDescent="0.2">
      <c r="A250" t="s">
        <v>9</v>
      </c>
      <c r="B250" t="s">
        <v>17</v>
      </c>
      <c r="C250">
        <v>1187</v>
      </c>
      <c r="D250" s="8">
        <v>17805000</v>
      </c>
      <c r="E250">
        <v>13057000</v>
      </c>
      <c r="F250">
        <v>4748000</v>
      </c>
      <c r="G250" s="1">
        <v>46084</v>
      </c>
      <c r="H250" s="7">
        <f>Table1[[#This Row],[Profit]]/Table1[[#This Row],[Revenue]] *100</f>
        <v>26.666666666666668</v>
      </c>
    </row>
    <row r="251" spans="1:8" x14ac:dyDescent="0.2">
      <c r="A251" t="s">
        <v>21</v>
      </c>
      <c r="B251" t="s">
        <v>19</v>
      </c>
      <c r="C251">
        <v>1374</v>
      </c>
      <c r="D251" s="8">
        <v>61830000</v>
      </c>
      <c r="E251">
        <v>52212000</v>
      </c>
      <c r="F251">
        <v>9618000</v>
      </c>
      <c r="G251" s="1">
        <v>45544</v>
      </c>
      <c r="H251" s="7">
        <f>Table1[[#This Row],[Profit]]/Table1[[#This Row],[Revenue]] *100</f>
        <v>15.555555555555555</v>
      </c>
    </row>
    <row r="252" spans="1:8" x14ac:dyDescent="0.2">
      <c r="A252" t="s">
        <v>11</v>
      </c>
      <c r="B252" t="s">
        <v>10</v>
      </c>
      <c r="C252">
        <v>2321</v>
      </c>
      <c r="D252" s="8">
        <v>8123500</v>
      </c>
      <c r="E252">
        <v>6034600</v>
      </c>
      <c r="F252">
        <v>2088900</v>
      </c>
      <c r="G252" s="1">
        <v>46113</v>
      </c>
      <c r="H252" s="7">
        <f>Table1[[#This Row],[Profit]]/Table1[[#This Row],[Revenue]] *100</f>
        <v>25.714285714285712</v>
      </c>
    </row>
    <row r="253" spans="1:8" x14ac:dyDescent="0.2">
      <c r="A253" t="s">
        <v>9</v>
      </c>
      <c r="B253" t="s">
        <v>14</v>
      </c>
      <c r="C253">
        <v>367</v>
      </c>
      <c r="D253" s="8">
        <v>440400</v>
      </c>
      <c r="E253">
        <v>293600</v>
      </c>
      <c r="F253">
        <v>146800</v>
      </c>
      <c r="G253" s="1">
        <v>45455</v>
      </c>
      <c r="H253" s="7">
        <f>Table1[[#This Row],[Profit]]/Table1[[#This Row],[Revenue]] *100</f>
        <v>33.333333333333329</v>
      </c>
    </row>
    <row r="254" spans="1:8" x14ac:dyDescent="0.2">
      <c r="A254" t="s">
        <v>18</v>
      </c>
      <c r="B254" t="s">
        <v>14</v>
      </c>
      <c r="C254">
        <v>2446</v>
      </c>
      <c r="D254" s="8">
        <v>2935200</v>
      </c>
      <c r="E254">
        <v>1956800</v>
      </c>
      <c r="F254">
        <v>978400</v>
      </c>
      <c r="G254" s="1">
        <v>45386</v>
      </c>
      <c r="H254" s="7">
        <f>Table1[[#This Row],[Profit]]/Table1[[#This Row],[Revenue]] *100</f>
        <v>33.333333333333329</v>
      </c>
    </row>
    <row r="255" spans="1:8" x14ac:dyDescent="0.2">
      <c r="A255" t="s">
        <v>11</v>
      </c>
      <c r="B255" t="s">
        <v>23</v>
      </c>
      <c r="C255">
        <v>2212</v>
      </c>
      <c r="D255" s="8">
        <v>11060000</v>
      </c>
      <c r="E255">
        <v>9290400</v>
      </c>
      <c r="F255">
        <v>1769600</v>
      </c>
      <c r="G255" s="1">
        <v>46124</v>
      </c>
      <c r="H255" s="7">
        <f>Table1[[#This Row],[Profit]]/Table1[[#This Row],[Revenue]] *100</f>
        <v>16</v>
      </c>
    </row>
    <row r="256" spans="1:8" x14ac:dyDescent="0.2">
      <c r="A256" t="s">
        <v>9</v>
      </c>
      <c r="B256" t="s">
        <v>8</v>
      </c>
      <c r="C256">
        <v>2795</v>
      </c>
      <c r="D256" s="8">
        <v>8385000</v>
      </c>
      <c r="E256">
        <v>5031000</v>
      </c>
      <c r="F256">
        <v>3354000</v>
      </c>
      <c r="G256" s="1">
        <v>45627</v>
      </c>
      <c r="H256" s="7">
        <f>Table1[[#This Row],[Profit]]/Table1[[#This Row],[Revenue]] *100</f>
        <v>40</v>
      </c>
    </row>
    <row r="257" spans="1:8" x14ac:dyDescent="0.2">
      <c r="A257" t="s">
        <v>16</v>
      </c>
      <c r="B257" t="s">
        <v>14</v>
      </c>
      <c r="C257">
        <v>1396</v>
      </c>
      <c r="D257" s="8">
        <v>1675200</v>
      </c>
      <c r="E257">
        <v>1116800</v>
      </c>
      <c r="F257">
        <v>558400</v>
      </c>
      <c r="G257" s="1">
        <v>46113</v>
      </c>
      <c r="H257" s="7">
        <f>Table1[[#This Row],[Profit]]/Table1[[#This Row],[Revenue]] *100</f>
        <v>33.333333333333329</v>
      </c>
    </row>
    <row r="258" spans="1:8" x14ac:dyDescent="0.2">
      <c r="A258" t="s">
        <v>22</v>
      </c>
      <c r="B258" t="s">
        <v>12</v>
      </c>
      <c r="C258">
        <v>1641</v>
      </c>
      <c r="D258" s="8">
        <v>1969200</v>
      </c>
      <c r="E258">
        <v>1394850</v>
      </c>
      <c r="F258">
        <v>574350</v>
      </c>
      <c r="G258" s="1">
        <v>45529</v>
      </c>
      <c r="H258" s="7">
        <f>Table1[[#This Row],[Profit]]/Table1[[#This Row],[Revenue]] *100</f>
        <v>29.166666666666668</v>
      </c>
    </row>
    <row r="259" spans="1:8" x14ac:dyDescent="0.2">
      <c r="A259" t="s">
        <v>16</v>
      </c>
      <c r="B259" t="s">
        <v>14</v>
      </c>
      <c r="C259">
        <v>1939</v>
      </c>
      <c r="D259" s="8">
        <v>2326800</v>
      </c>
      <c r="E259">
        <v>1551200</v>
      </c>
      <c r="F259">
        <v>775600</v>
      </c>
      <c r="G259" s="1">
        <v>45672</v>
      </c>
      <c r="H259" s="7">
        <f>Table1[[#This Row],[Profit]]/Table1[[#This Row],[Revenue]] *100</f>
        <v>33.333333333333329</v>
      </c>
    </row>
    <row r="260" spans="1:8" x14ac:dyDescent="0.2">
      <c r="A260" t="s">
        <v>22</v>
      </c>
      <c r="B260" t="s">
        <v>23</v>
      </c>
      <c r="C260">
        <v>2137</v>
      </c>
      <c r="D260" s="8">
        <v>10685000</v>
      </c>
      <c r="E260">
        <v>8975400</v>
      </c>
      <c r="F260">
        <v>1709600</v>
      </c>
      <c r="G260" s="1">
        <v>46190</v>
      </c>
      <c r="H260" s="7">
        <f>Table1[[#This Row],[Profit]]/Table1[[#This Row],[Revenue]] *100</f>
        <v>16</v>
      </c>
    </row>
    <row r="261" spans="1:8" x14ac:dyDescent="0.2">
      <c r="A261" t="s">
        <v>20</v>
      </c>
      <c r="B261" t="s">
        <v>14</v>
      </c>
      <c r="C261">
        <v>2046</v>
      </c>
      <c r="D261" s="8">
        <v>2455200</v>
      </c>
      <c r="E261">
        <v>1636800</v>
      </c>
      <c r="F261">
        <v>818400</v>
      </c>
      <c r="G261" s="1">
        <v>45774</v>
      </c>
      <c r="H261" s="7">
        <f>Table1[[#This Row],[Profit]]/Table1[[#This Row],[Revenue]] *100</f>
        <v>33.333333333333329</v>
      </c>
    </row>
    <row r="262" spans="1:8" x14ac:dyDescent="0.2">
      <c r="A262" t="s">
        <v>20</v>
      </c>
      <c r="B262" t="s">
        <v>12</v>
      </c>
      <c r="C262">
        <v>1822</v>
      </c>
      <c r="D262" s="8">
        <v>2186400</v>
      </c>
      <c r="E262">
        <v>1548700</v>
      </c>
      <c r="F262">
        <v>637700</v>
      </c>
      <c r="G262" s="1">
        <v>46193</v>
      </c>
      <c r="H262" s="7">
        <f>Table1[[#This Row],[Profit]]/Table1[[#This Row],[Revenue]] *100</f>
        <v>29.166666666666668</v>
      </c>
    </row>
    <row r="263" spans="1:8" x14ac:dyDescent="0.2">
      <c r="A263" t="s">
        <v>20</v>
      </c>
      <c r="B263" t="s">
        <v>19</v>
      </c>
      <c r="C263">
        <v>1362</v>
      </c>
      <c r="D263" s="8">
        <v>61290000</v>
      </c>
      <c r="E263">
        <v>51756000</v>
      </c>
      <c r="F263">
        <v>9534000</v>
      </c>
      <c r="G263" s="1">
        <v>46340</v>
      </c>
      <c r="H263" s="7">
        <f>Table1[[#This Row],[Profit]]/Table1[[#This Row],[Revenue]] *100</f>
        <v>15.555555555555555</v>
      </c>
    </row>
    <row r="264" spans="1:8" x14ac:dyDescent="0.2">
      <c r="A264" t="s">
        <v>18</v>
      </c>
      <c r="B264" t="s">
        <v>8</v>
      </c>
      <c r="C264">
        <v>1335</v>
      </c>
      <c r="D264" s="8">
        <v>4005000</v>
      </c>
      <c r="E264">
        <v>2403000</v>
      </c>
      <c r="F264">
        <v>1602000</v>
      </c>
      <c r="G264" s="1">
        <v>45773</v>
      </c>
      <c r="H264" s="7">
        <f>Table1[[#This Row],[Profit]]/Table1[[#This Row],[Revenue]] *100</f>
        <v>40</v>
      </c>
    </row>
    <row r="265" spans="1:8" x14ac:dyDescent="0.2">
      <c r="A265" t="s">
        <v>16</v>
      </c>
      <c r="B265" t="s">
        <v>23</v>
      </c>
      <c r="C265">
        <v>265</v>
      </c>
      <c r="D265" s="8">
        <v>1325000</v>
      </c>
      <c r="E265">
        <v>1113000</v>
      </c>
      <c r="F265">
        <v>212000</v>
      </c>
      <c r="G265" s="1">
        <v>46208</v>
      </c>
      <c r="H265" s="7">
        <f>Table1[[#This Row],[Profit]]/Table1[[#This Row],[Revenue]] *100</f>
        <v>16</v>
      </c>
    </row>
    <row r="266" spans="1:8" x14ac:dyDescent="0.2">
      <c r="A266" t="s">
        <v>22</v>
      </c>
      <c r="B266" t="s">
        <v>19</v>
      </c>
      <c r="C266">
        <v>2433</v>
      </c>
      <c r="D266" s="8">
        <v>109485000</v>
      </c>
      <c r="E266">
        <v>92454000</v>
      </c>
      <c r="F266">
        <v>17031000</v>
      </c>
      <c r="G266" s="1">
        <v>46285</v>
      </c>
      <c r="H266" s="7">
        <f>Table1[[#This Row],[Profit]]/Table1[[#This Row],[Revenue]] *100</f>
        <v>15.555555555555555</v>
      </c>
    </row>
    <row r="267" spans="1:8" x14ac:dyDescent="0.2">
      <c r="A267" t="s">
        <v>9</v>
      </c>
      <c r="B267" t="s">
        <v>19</v>
      </c>
      <c r="C267">
        <v>2189</v>
      </c>
      <c r="D267" s="8">
        <v>98505000</v>
      </c>
      <c r="E267">
        <v>83182000</v>
      </c>
      <c r="F267">
        <v>15323000</v>
      </c>
      <c r="G267" s="1">
        <v>46255</v>
      </c>
      <c r="H267" s="7">
        <f>Table1[[#This Row],[Profit]]/Table1[[#This Row],[Revenue]] *100</f>
        <v>15.555555555555555</v>
      </c>
    </row>
    <row r="268" spans="1:8" x14ac:dyDescent="0.2">
      <c r="A268" t="s">
        <v>21</v>
      </c>
      <c r="B268" t="s">
        <v>19</v>
      </c>
      <c r="C268">
        <v>2450</v>
      </c>
      <c r="D268" s="8">
        <v>110250000</v>
      </c>
      <c r="E268">
        <v>93100000</v>
      </c>
      <c r="F268">
        <v>17150000</v>
      </c>
      <c r="G268" s="1">
        <v>45828</v>
      </c>
      <c r="H268" s="7">
        <f>Table1[[#This Row],[Profit]]/Table1[[#This Row],[Revenue]] *100</f>
        <v>15.555555555555555</v>
      </c>
    </row>
    <row r="269" spans="1:8" x14ac:dyDescent="0.2">
      <c r="A269" t="s">
        <v>9</v>
      </c>
      <c r="B269" t="s">
        <v>17</v>
      </c>
      <c r="C269">
        <v>2668</v>
      </c>
      <c r="D269" s="8">
        <v>40020000</v>
      </c>
      <c r="E269">
        <v>29348000</v>
      </c>
      <c r="F269">
        <v>10672000</v>
      </c>
      <c r="G269" s="1">
        <v>46327</v>
      </c>
      <c r="H269" s="7">
        <f>Table1[[#This Row],[Profit]]/Table1[[#This Row],[Revenue]] *100</f>
        <v>26.666666666666668</v>
      </c>
    </row>
    <row r="270" spans="1:8" x14ac:dyDescent="0.2">
      <c r="A270" t="s">
        <v>21</v>
      </c>
      <c r="B270" t="s">
        <v>8</v>
      </c>
      <c r="C270">
        <v>2913</v>
      </c>
      <c r="D270" s="8">
        <v>8739000</v>
      </c>
      <c r="E270">
        <v>5243400</v>
      </c>
      <c r="F270">
        <v>3495600</v>
      </c>
      <c r="G270" s="1">
        <v>45419</v>
      </c>
      <c r="H270" s="7">
        <f>Table1[[#This Row],[Profit]]/Table1[[#This Row],[Revenue]] *100</f>
        <v>40</v>
      </c>
    </row>
    <row r="271" spans="1:8" x14ac:dyDescent="0.2">
      <c r="A271" t="s">
        <v>13</v>
      </c>
      <c r="B271" t="s">
        <v>10</v>
      </c>
      <c r="C271">
        <v>1754</v>
      </c>
      <c r="D271" s="8">
        <v>6139000</v>
      </c>
      <c r="E271">
        <v>4560400</v>
      </c>
      <c r="F271">
        <v>1578600</v>
      </c>
      <c r="G271" s="1">
        <v>45383</v>
      </c>
      <c r="H271" s="7">
        <f>Table1[[#This Row],[Profit]]/Table1[[#This Row],[Revenue]] *100</f>
        <v>25.714285714285712</v>
      </c>
    </row>
    <row r="272" spans="1:8" x14ac:dyDescent="0.2">
      <c r="A272" t="s">
        <v>9</v>
      </c>
      <c r="B272" t="s">
        <v>8</v>
      </c>
      <c r="C272">
        <v>2878</v>
      </c>
      <c r="D272" s="8">
        <v>8634000</v>
      </c>
      <c r="E272">
        <v>5180400</v>
      </c>
      <c r="F272">
        <v>3453600</v>
      </c>
      <c r="G272" s="1">
        <v>45834</v>
      </c>
      <c r="H272" s="7">
        <f>Table1[[#This Row],[Profit]]/Table1[[#This Row],[Revenue]] *100</f>
        <v>40</v>
      </c>
    </row>
    <row r="273" spans="1:8" x14ac:dyDescent="0.2">
      <c r="A273" t="s">
        <v>11</v>
      </c>
      <c r="B273" t="s">
        <v>17</v>
      </c>
      <c r="C273">
        <v>412</v>
      </c>
      <c r="D273" s="8">
        <v>6180000</v>
      </c>
      <c r="E273">
        <v>4532000</v>
      </c>
      <c r="F273">
        <v>1648000</v>
      </c>
      <c r="G273" s="1">
        <v>46137</v>
      </c>
      <c r="H273" s="7">
        <f>Table1[[#This Row],[Profit]]/Table1[[#This Row],[Revenue]] *100</f>
        <v>26.666666666666668</v>
      </c>
    </row>
    <row r="274" spans="1:8" x14ac:dyDescent="0.2">
      <c r="A274" t="s">
        <v>11</v>
      </c>
      <c r="B274" t="s">
        <v>10</v>
      </c>
      <c r="C274">
        <v>2654</v>
      </c>
      <c r="D274" s="8">
        <v>9289000</v>
      </c>
      <c r="E274">
        <v>6900400</v>
      </c>
      <c r="F274">
        <v>2388600</v>
      </c>
      <c r="G274" s="1">
        <v>46280</v>
      </c>
      <c r="H274" s="7">
        <f>Table1[[#This Row],[Profit]]/Table1[[#This Row],[Revenue]] *100</f>
        <v>25.714285714285712</v>
      </c>
    </row>
    <row r="275" spans="1:8" x14ac:dyDescent="0.2">
      <c r="A275" t="s">
        <v>7</v>
      </c>
      <c r="B275" t="s">
        <v>8</v>
      </c>
      <c r="C275">
        <v>1766</v>
      </c>
      <c r="D275" s="8">
        <v>5298000</v>
      </c>
      <c r="E275">
        <v>3178800</v>
      </c>
      <c r="F275">
        <v>2119200</v>
      </c>
      <c r="G275" s="1">
        <v>45738</v>
      </c>
      <c r="H275" s="7">
        <f>Table1[[#This Row],[Profit]]/Table1[[#This Row],[Revenue]] *100</f>
        <v>40</v>
      </c>
    </row>
    <row r="276" spans="1:8" x14ac:dyDescent="0.2">
      <c r="A276" t="s">
        <v>16</v>
      </c>
      <c r="B276" t="s">
        <v>19</v>
      </c>
      <c r="C276">
        <v>1243</v>
      </c>
      <c r="D276" s="8">
        <v>55935000</v>
      </c>
      <c r="E276">
        <v>47234000</v>
      </c>
      <c r="F276">
        <v>8701000</v>
      </c>
      <c r="G276" s="1">
        <v>45681</v>
      </c>
      <c r="H276" s="7">
        <f>Table1[[#This Row],[Profit]]/Table1[[#This Row],[Revenue]] *100</f>
        <v>15.555555555555555</v>
      </c>
    </row>
    <row r="277" spans="1:8" x14ac:dyDescent="0.2">
      <c r="A277" t="s">
        <v>21</v>
      </c>
      <c r="B277" t="s">
        <v>23</v>
      </c>
      <c r="C277">
        <v>405</v>
      </c>
      <c r="D277" s="8">
        <v>2025000</v>
      </c>
      <c r="E277">
        <v>1701000</v>
      </c>
      <c r="F277">
        <v>324000</v>
      </c>
      <c r="G277" s="1">
        <v>45963</v>
      </c>
      <c r="H277" s="7">
        <f>Table1[[#This Row],[Profit]]/Table1[[#This Row],[Revenue]] *100</f>
        <v>16</v>
      </c>
    </row>
    <row r="278" spans="1:8" x14ac:dyDescent="0.2">
      <c r="A278" t="s">
        <v>21</v>
      </c>
      <c r="B278" t="s">
        <v>10</v>
      </c>
      <c r="C278">
        <v>240</v>
      </c>
      <c r="D278" s="8">
        <v>840000</v>
      </c>
      <c r="E278">
        <v>624000</v>
      </c>
      <c r="F278">
        <v>216000</v>
      </c>
      <c r="G278" s="1">
        <v>45334</v>
      </c>
      <c r="H278" s="7">
        <f>Table1[[#This Row],[Profit]]/Table1[[#This Row],[Revenue]] *100</f>
        <v>25.714285714285712</v>
      </c>
    </row>
    <row r="279" spans="1:8" x14ac:dyDescent="0.2">
      <c r="A279" t="s">
        <v>16</v>
      </c>
      <c r="B279" t="s">
        <v>12</v>
      </c>
      <c r="C279">
        <v>2519</v>
      </c>
      <c r="D279" s="8">
        <v>3022800</v>
      </c>
      <c r="E279">
        <v>2141150</v>
      </c>
      <c r="F279">
        <v>881650</v>
      </c>
      <c r="G279" s="1">
        <v>45545</v>
      </c>
      <c r="H279" s="7">
        <f>Table1[[#This Row],[Profit]]/Table1[[#This Row],[Revenue]] *100</f>
        <v>29.166666666666668</v>
      </c>
    </row>
    <row r="280" spans="1:8" x14ac:dyDescent="0.2">
      <c r="A280" t="s">
        <v>18</v>
      </c>
      <c r="B280" t="s">
        <v>12</v>
      </c>
      <c r="C280">
        <v>749</v>
      </c>
      <c r="D280" s="8">
        <v>898800</v>
      </c>
      <c r="E280">
        <v>636650</v>
      </c>
      <c r="F280">
        <v>262150</v>
      </c>
      <c r="G280" s="1">
        <v>46375</v>
      </c>
      <c r="H280" s="7">
        <f>Table1[[#This Row],[Profit]]/Table1[[#This Row],[Revenue]] *100</f>
        <v>29.166666666666668</v>
      </c>
    </row>
    <row r="281" spans="1:8" x14ac:dyDescent="0.2">
      <c r="A281" t="s">
        <v>7</v>
      </c>
      <c r="B281" t="s">
        <v>14</v>
      </c>
      <c r="C281">
        <v>2104</v>
      </c>
      <c r="D281" s="8">
        <v>2524800</v>
      </c>
      <c r="E281">
        <v>1683200</v>
      </c>
      <c r="F281">
        <v>841600</v>
      </c>
      <c r="G281" s="1">
        <v>45954</v>
      </c>
      <c r="H281" s="7">
        <f>Table1[[#This Row],[Profit]]/Table1[[#This Row],[Revenue]] *100</f>
        <v>33.333333333333329</v>
      </c>
    </row>
    <row r="282" spans="1:8" x14ac:dyDescent="0.2">
      <c r="A282" t="s">
        <v>18</v>
      </c>
      <c r="B282" t="s">
        <v>10</v>
      </c>
      <c r="C282">
        <v>2230</v>
      </c>
      <c r="D282" s="8">
        <v>7805000</v>
      </c>
      <c r="E282">
        <v>5798000</v>
      </c>
      <c r="F282">
        <v>2007000</v>
      </c>
      <c r="G282" s="1">
        <v>45758</v>
      </c>
      <c r="H282" s="7">
        <f>Table1[[#This Row],[Profit]]/Table1[[#This Row],[Revenue]] *100</f>
        <v>25.714285714285712</v>
      </c>
    </row>
    <row r="283" spans="1:8" x14ac:dyDescent="0.2">
      <c r="A283" t="s">
        <v>18</v>
      </c>
      <c r="B283" t="s">
        <v>23</v>
      </c>
      <c r="C283">
        <v>606</v>
      </c>
      <c r="D283" s="8">
        <v>3030000</v>
      </c>
      <c r="E283">
        <v>2545200</v>
      </c>
      <c r="F283">
        <v>484800</v>
      </c>
      <c r="G283" s="1">
        <v>45578</v>
      </c>
      <c r="H283" s="7">
        <f>Table1[[#This Row],[Profit]]/Table1[[#This Row],[Revenue]] *100</f>
        <v>16</v>
      </c>
    </row>
    <row r="284" spans="1:8" x14ac:dyDescent="0.2">
      <c r="A284" t="s">
        <v>18</v>
      </c>
      <c r="B284" t="s">
        <v>17</v>
      </c>
      <c r="C284">
        <v>875</v>
      </c>
      <c r="D284" s="8">
        <v>13125000</v>
      </c>
      <c r="E284">
        <v>9625000</v>
      </c>
      <c r="F284">
        <v>3500000</v>
      </c>
      <c r="G284" s="1">
        <v>46302</v>
      </c>
      <c r="H284" s="7">
        <f>Table1[[#This Row],[Profit]]/Table1[[#This Row],[Revenue]] *100</f>
        <v>26.666666666666668</v>
      </c>
    </row>
    <row r="285" spans="1:8" x14ac:dyDescent="0.2">
      <c r="A285" t="s">
        <v>16</v>
      </c>
      <c r="B285" t="s">
        <v>19</v>
      </c>
      <c r="C285">
        <v>2858</v>
      </c>
      <c r="D285" s="8">
        <v>128610000</v>
      </c>
      <c r="E285">
        <v>108604000</v>
      </c>
      <c r="F285">
        <v>20006000</v>
      </c>
      <c r="G285" s="1">
        <v>46069</v>
      </c>
      <c r="H285" s="7">
        <f>Table1[[#This Row],[Profit]]/Table1[[#This Row],[Revenue]] *100</f>
        <v>15.555555555555555</v>
      </c>
    </row>
    <row r="286" spans="1:8" x14ac:dyDescent="0.2">
      <c r="A286" t="s">
        <v>18</v>
      </c>
      <c r="B286" t="s">
        <v>14</v>
      </c>
      <c r="C286">
        <v>1104</v>
      </c>
      <c r="D286" s="8">
        <v>1324800</v>
      </c>
      <c r="E286">
        <v>883200</v>
      </c>
      <c r="F286">
        <v>441600</v>
      </c>
      <c r="G286" s="1">
        <v>45636</v>
      </c>
      <c r="H286" s="7">
        <f>Table1[[#This Row],[Profit]]/Table1[[#This Row],[Revenue]] *100</f>
        <v>33.333333333333329</v>
      </c>
    </row>
    <row r="287" spans="1:8" x14ac:dyDescent="0.2">
      <c r="A287" t="s">
        <v>11</v>
      </c>
      <c r="B287" t="s">
        <v>12</v>
      </c>
      <c r="C287">
        <v>2632</v>
      </c>
      <c r="D287" s="8">
        <v>3158400</v>
      </c>
      <c r="E287">
        <v>2237200</v>
      </c>
      <c r="F287">
        <v>921200</v>
      </c>
      <c r="G287" s="1">
        <v>45933</v>
      </c>
      <c r="H287" s="7">
        <f>Table1[[#This Row],[Profit]]/Table1[[#This Row],[Revenue]] *100</f>
        <v>29.166666666666668</v>
      </c>
    </row>
    <row r="288" spans="1:8" x14ac:dyDescent="0.2">
      <c r="A288" t="s">
        <v>20</v>
      </c>
      <c r="B288" t="s">
        <v>17</v>
      </c>
      <c r="C288">
        <v>475</v>
      </c>
      <c r="D288" s="8">
        <v>7125000</v>
      </c>
      <c r="E288">
        <v>5225000</v>
      </c>
      <c r="F288">
        <v>1900000</v>
      </c>
      <c r="G288" s="1">
        <v>45673</v>
      </c>
      <c r="H288" s="7">
        <f>Table1[[#This Row],[Profit]]/Table1[[#This Row],[Revenue]] *100</f>
        <v>26.666666666666668</v>
      </c>
    </row>
    <row r="289" spans="1:8" x14ac:dyDescent="0.2">
      <c r="A289" t="s">
        <v>13</v>
      </c>
      <c r="B289" t="s">
        <v>17</v>
      </c>
      <c r="C289">
        <v>2769</v>
      </c>
      <c r="D289" s="8">
        <v>41535000</v>
      </c>
      <c r="E289">
        <v>30459000</v>
      </c>
      <c r="F289">
        <v>11076000</v>
      </c>
      <c r="G289" s="1">
        <v>45981</v>
      </c>
      <c r="H289" s="7">
        <f>Table1[[#This Row],[Profit]]/Table1[[#This Row],[Revenue]] *100</f>
        <v>26.666666666666668</v>
      </c>
    </row>
    <row r="290" spans="1:8" x14ac:dyDescent="0.2">
      <c r="A290" t="s">
        <v>21</v>
      </c>
      <c r="B290" t="s">
        <v>19</v>
      </c>
      <c r="C290">
        <v>2460</v>
      </c>
      <c r="D290" s="8">
        <v>110700000</v>
      </c>
      <c r="E290">
        <v>93480000</v>
      </c>
      <c r="F290">
        <v>17220000</v>
      </c>
      <c r="G290" s="1">
        <v>46371</v>
      </c>
      <c r="H290" s="7">
        <f>Table1[[#This Row],[Profit]]/Table1[[#This Row],[Revenue]] *100</f>
        <v>15.555555555555555</v>
      </c>
    </row>
    <row r="291" spans="1:8" x14ac:dyDescent="0.2">
      <c r="A291" t="s">
        <v>21</v>
      </c>
      <c r="B291" t="s">
        <v>10</v>
      </c>
      <c r="C291">
        <v>1624</v>
      </c>
      <c r="D291" s="8">
        <v>5684000</v>
      </c>
      <c r="E291">
        <v>4222400</v>
      </c>
      <c r="F291">
        <v>1461600</v>
      </c>
      <c r="G291" s="1">
        <v>45748</v>
      </c>
      <c r="H291" s="7">
        <f>Table1[[#This Row],[Profit]]/Table1[[#This Row],[Revenue]] *100</f>
        <v>25.714285714285712</v>
      </c>
    </row>
    <row r="292" spans="1:8" x14ac:dyDescent="0.2">
      <c r="A292" t="s">
        <v>13</v>
      </c>
      <c r="B292" t="s">
        <v>12</v>
      </c>
      <c r="C292">
        <v>2179</v>
      </c>
      <c r="D292" s="8">
        <v>2614800</v>
      </c>
      <c r="E292">
        <v>1852150</v>
      </c>
      <c r="F292">
        <v>762650</v>
      </c>
      <c r="G292" s="1">
        <v>46274</v>
      </c>
      <c r="H292" s="7">
        <f>Table1[[#This Row],[Profit]]/Table1[[#This Row],[Revenue]] *100</f>
        <v>29.166666666666668</v>
      </c>
    </row>
    <row r="293" spans="1:8" x14ac:dyDescent="0.2">
      <c r="A293" t="s">
        <v>16</v>
      </c>
      <c r="B293" t="s">
        <v>23</v>
      </c>
      <c r="C293">
        <v>2453</v>
      </c>
      <c r="D293" s="8">
        <v>12265000</v>
      </c>
      <c r="E293">
        <v>10302600</v>
      </c>
      <c r="F293">
        <v>1962400</v>
      </c>
      <c r="G293" s="1">
        <v>45374</v>
      </c>
      <c r="H293" s="7">
        <f>Table1[[#This Row],[Profit]]/Table1[[#This Row],[Revenue]] *100</f>
        <v>16</v>
      </c>
    </row>
    <row r="294" spans="1:8" x14ac:dyDescent="0.2">
      <c r="A294" t="s">
        <v>9</v>
      </c>
      <c r="B294" t="s">
        <v>17</v>
      </c>
      <c r="C294">
        <v>638</v>
      </c>
      <c r="D294" s="8">
        <v>9570000</v>
      </c>
      <c r="E294">
        <v>7018000</v>
      </c>
      <c r="F294">
        <v>2552000</v>
      </c>
      <c r="G294" s="1">
        <v>45440</v>
      </c>
      <c r="H294" s="7">
        <f>Table1[[#This Row],[Profit]]/Table1[[#This Row],[Revenue]] *100</f>
        <v>26.666666666666668</v>
      </c>
    </row>
    <row r="295" spans="1:8" x14ac:dyDescent="0.2">
      <c r="A295" t="s">
        <v>16</v>
      </c>
      <c r="B295" t="s">
        <v>19</v>
      </c>
      <c r="C295">
        <v>2062</v>
      </c>
      <c r="D295" s="8">
        <v>92790000</v>
      </c>
      <c r="E295">
        <v>78356000</v>
      </c>
      <c r="F295">
        <v>14434000</v>
      </c>
      <c r="G295" s="1">
        <v>45481</v>
      </c>
      <c r="H295" s="7">
        <f>Table1[[#This Row],[Profit]]/Table1[[#This Row],[Revenue]] *100</f>
        <v>15.555555555555555</v>
      </c>
    </row>
    <row r="296" spans="1:8" x14ac:dyDescent="0.2">
      <c r="A296" t="s">
        <v>21</v>
      </c>
      <c r="B296" t="s">
        <v>23</v>
      </c>
      <c r="C296">
        <v>1597</v>
      </c>
      <c r="D296" s="8">
        <v>7985000</v>
      </c>
      <c r="E296">
        <v>6707400</v>
      </c>
      <c r="F296">
        <v>1277600</v>
      </c>
      <c r="G296" s="1">
        <v>46174</v>
      </c>
      <c r="H296" s="7">
        <f>Table1[[#This Row],[Profit]]/Table1[[#This Row],[Revenue]] *100</f>
        <v>16</v>
      </c>
    </row>
    <row r="297" spans="1:8" x14ac:dyDescent="0.2">
      <c r="A297" t="s">
        <v>21</v>
      </c>
      <c r="B297" t="s">
        <v>10</v>
      </c>
      <c r="C297">
        <v>344</v>
      </c>
      <c r="D297" s="8">
        <v>1204000</v>
      </c>
      <c r="E297">
        <v>894400</v>
      </c>
      <c r="F297">
        <v>309600</v>
      </c>
      <c r="G297" s="1">
        <v>45554</v>
      </c>
      <c r="H297" s="7">
        <f>Table1[[#This Row],[Profit]]/Table1[[#This Row],[Revenue]] *100</f>
        <v>25.714285714285712</v>
      </c>
    </row>
    <row r="298" spans="1:8" x14ac:dyDescent="0.2">
      <c r="A298" t="s">
        <v>13</v>
      </c>
      <c r="B298" t="s">
        <v>12</v>
      </c>
      <c r="C298">
        <v>2035</v>
      </c>
      <c r="D298" s="8">
        <v>2442000</v>
      </c>
      <c r="E298">
        <v>1729750</v>
      </c>
      <c r="F298">
        <v>712250</v>
      </c>
      <c r="G298" s="1">
        <v>45691</v>
      </c>
      <c r="H298" s="7">
        <f>Table1[[#This Row],[Profit]]/Table1[[#This Row],[Revenue]] *100</f>
        <v>29.166666666666668</v>
      </c>
    </row>
    <row r="299" spans="1:8" x14ac:dyDescent="0.2">
      <c r="A299" t="s">
        <v>18</v>
      </c>
      <c r="B299" t="s">
        <v>10</v>
      </c>
      <c r="C299">
        <v>1297</v>
      </c>
      <c r="D299" s="8">
        <v>4539500</v>
      </c>
      <c r="E299">
        <v>3372200</v>
      </c>
      <c r="F299">
        <v>1167300</v>
      </c>
      <c r="G299" s="1">
        <v>46055</v>
      </c>
      <c r="H299" s="7">
        <f>Table1[[#This Row],[Profit]]/Table1[[#This Row],[Revenue]] *100</f>
        <v>25.714285714285712</v>
      </c>
    </row>
    <row r="300" spans="1:8" x14ac:dyDescent="0.2">
      <c r="A300" t="s">
        <v>16</v>
      </c>
      <c r="B300" t="s">
        <v>17</v>
      </c>
      <c r="C300">
        <v>1598</v>
      </c>
      <c r="D300" s="8">
        <v>23970000</v>
      </c>
      <c r="E300">
        <v>17578000</v>
      </c>
      <c r="F300">
        <v>6392000</v>
      </c>
      <c r="G300" s="1">
        <v>45900</v>
      </c>
      <c r="H300" s="7">
        <f>Table1[[#This Row],[Profit]]/Table1[[#This Row],[Revenue]] *100</f>
        <v>26.666666666666668</v>
      </c>
    </row>
    <row r="301" spans="1:8" x14ac:dyDescent="0.2">
      <c r="A301" t="s">
        <v>22</v>
      </c>
      <c r="B301" t="s">
        <v>23</v>
      </c>
      <c r="C301">
        <v>1740</v>
      </c>
      <c r="D301" s="8">
        <v>8700000</v>
      </c>
      <c r="E301">
        <v>7308000</v>
      </c>
      <c r="F301">
        <v>1392000</v>
      </c>
      <c r="G301" s="1">
        <v>46076</v>
      </c>
      <c r="H301" s="7">
        <f>Table1[[#This Row],[Profit]]/Table1[[#This Row],[Revenue]] *100</f>
        <v>16</v>
      </c>
    </row>
    <row r="302" spans="1:8" x14ac:dyDescent="0.2">
      <c r="A302" t="s">
        <v>13</v>
      </c>
      <c r="B302" t="s">
        <v>23</v>
      </c>
      <c r="C302">
        <v>1186</v>
      </c>
      <c r="D302" s="8">
        <v>5930000</v>
      </c>
      <c r="E302">
        <v>4981200</v>
      </c>
      <c r="F302">
        <v>948800</v>
      </c>
      <c r="G302" s="1">
        <v>45392</v>
      </c>
      <c r="H302" s="7">
        <f>Table1[[#This Row],[Profit]]/Table1[[#This Row],[Revenue]] *100</f>
        <v>16</v>
      </c>
    </row>
    <row r="303" spans="1:8" x14ac:dyDescent="0.2">
      <c r="A303" t="s">
        <v>11</v>
      </c>
      <c r="B303" t="s">
        <v>23</v>
      </c>
      <c r="C303">
        <v>1306</v>
      </c>
      <c r="D303" s="8">
        <v>6530000</v>
      </c>
      <c r="E303">
        <v>5485200</v>
      </c>
      <c r="F303">
        <v>1044800</v>
      </c>
      <c r="G303" s="1">
        <v>46111</v>
      </c>
      <c r="H303" s="7">
        <f>Table1[[#This Row],[Profit]]/Table1[[#This Row],[Revenue]] *100</f>
        <v>16</v>
      </c>
    </row>
    <row r="304" spans="1:8" x14ac:dyDescent="0.2">
      <c r="A304" t="s">
        <v>21</v>
      </c>
      <c r="B304" t="s">
        <v>17</v>
      </c>
      <c r="C304">
        <v>2114</v>
      </c>
      <c r="D304" s="8">
        <v>31710000</v>
      </c>
      <c r="E304">
        <v>23254000</v>
      </c>
      <c r="F304">
        <v>8456000</v>
      </c>
      <c r="G304" s="1">
        <v>46111</v>
      </c>
      <c r="H304" s="7">
        <f>Table1[[#This Row],[Profit]]/Table1[[#This Row],[Revenue]] *100</f>
        <v>26.666666666666668</v>
      </c>
    </row>
    <row r="305" spans="1:8" x14ac:dyDescent="0.2">
      <c r="A305" t="s">
        <v>13</v>
      </c>
      <c r="B305" t="s">
        <v>17</v>
      </c>
      <c r="C305">
        <v>409</v>
      </c>
      <c r="D305" s="8">
        <v>6135000</v>
      </c>
      <c r="E305">
        <v>4499000</v>
      </c>
      <c r="F305">
        <v>1636000</v>
      </c>
      <c r="G305" s="1">
        <v>45711</v>
      </c>
      <c r="H305" s="7">
        <f>Table1[[#This Row],[Profit]]/Table1[[#This Row],[Revenue]] *100</f>
        <v>26.666666666666668</v>
      </c>
    </row>
    <row r="306" spans="1:8" x14ac:dyDescent="0.2">
      <c r="A306" t="s">
        <v>16</v>
      </c>
      <c r="B306" t="s">
        <v>10</v>
      </c>
      <c r="C306">
        <v>2963</v>
      </c>
      <c r="D306" s="8">
        <v>10370500</v>
      </c>
      <c r="E306">
        <v>7703800</v>
      </c>
      <c r="F306">
        <v>2666700</v>
      </c>
      <c r="G306" s="1">
        <v>45415</v>
      </c>
      <c r="H306" s="7">
        <f>Table1[[#This Row],[Profit]]/Table1[[#This Row],[Revenue]] *100</f>
        <v>25.714285714285712</v>
      </c>
    </row>
    <row r="307" spans="1:8" x14ac:dyDescent="0.2">
      <c r="A307" t="s">
        <v>21</v>
      </c>
      <c r="B307" t="s">
        <v>14</v>
      </c>
      <c r="C307">
        <v>749</v>
      </c>
      <c r="D307" s="8">
        <v>898800</v>
      </c>
      <c r="E307">
        <v>599200</v>
      </c>
      <c r="F307">
        <v>299600</v>
      </c>
      <c r="G307" s="1">
        <v>45713</v>
      </c>
      <c r="H307" s="7">
        <f>Table1[[#This Row],[Profit]]/Table1[[#This Row],[Revenue]] *100</f>
        <v>33.333333333333329</v>
      </c>
    </row>
    <row r="308" spans="1:8" x14ac:dyDescent="0.2">
      <c r="A308" t="s">
        <v>9</v>
      </c>
      <c r="B308" t="s">
        <v>10</v>
      </c>
      <c r="C308">
        <v>497</v>
      </c>
      <c r="D308" s="8">
        <v>1739500</v>
      </c>
      <c r="E308">
        <v>1292200</v>
      </c>
      <c r="F308">
        <v>447300</v>
      </c>
      <c r="G308" s="1">
        <v>46378</v>
      </c>
      <c r="H308" s="7">
        <f>Table1[[#This Row],[Profit]]/Table1[[#This Row],[Revenue]] *100</f>
        <v>25.714285714285712</v>
      </c>
    </row>
    <row r="309" spans="1:8" x14ac:dyDescent="0.2">
      <c r="A309" t="s">
        <v>13</v>
      </c>
      <c r="B309" t="s">
        <v>12</v>
      </c>
      <c r="C309">
        <v>2953</v>
      </c>
      <c r="D309" s="8">
        <v>3543600</v>
      </c>
      <c r="E309">
        <v>2510050</v>
      </c>
      <c r="F309">
        <v>1033550</v>
      </c>
      <c r="G309" s="1">
        <v>46059</v>
      </c>
      <c r="H309" s="7">
        <f>Table1[[#This Row],[Profit]]/Table1[[#This Row],[Revenue]] *100</f>
        <v>29.166666666666668</v>
      </c>
    </row>
    <row r="310" spans="1:8" x14ac:dyDescent="0.2">
      <c r="A310" t="s">
        <v>7</v>
      </c>
      <c r="B310" t="s">
        <v>19</v>
      </c>
      <c r="C310">
        <v>2462</v>
      </c>
      <c r="D310" s="8">
        <v>110790000</v>
      </c>
      <c r="E310">
        <v>93556000</v>
      </c>
      <c r="F310">
        <v>17234000</v>
      </c>
      <c r="G310" s="1">
        <v>45774</v>
      </c>
      <c r="H310" s="7">
        <f>Table1[[#This Row],[Profit]]/Table1[[#This Row],[Revenue]] *100</f>
        <v>15.555555555555555</v>
      </c>
    </row>
    <row r="311" spans="1:8" x14ac:dyDescent="0.2">
      <c r="A311" t="s">
        <v>21</v>
      </c>
      <c r="B311" t="s">
        <v>23</v>
      </c>
      <c r="C311">
        <v>724</v>
      </c>
      <c r="D311" s="8">
        <v>3620000</v>
      </c>
      <c r="E311">
        <v>3040800</v>
      </c>
      <c r="F311">
        <v>579200</v>
      </c>
      <c r="G311" s="1">
        <v>45810</v>
      </c>
      <c r="H311" s="7">
        <f>Table1[[#This Row],[Profit]]/Table1[[#This Row],[Revenue]] *100</f>
        <v>16</v>
      </c>
    </row>
    <row r="312" spans="1:8" x14ac:dyDescent="0.2">
      <c r="A312" t="s">
        <v>16</v>
      </c>
      <c r="B312" t="s">
        <v>14</v>
      </c>
      <c r="C312">
        <v>1057</v>
      </c>
      <c r="D312" s="8">
        <v>1268400</v>
      </c>
      <c r="E312">
        <v>845600</v>
      </c>
      <c r="F312">
        <v>422800</v>
      </c>
      <c r="G312" s="1">
        <v>45446</v>
      </c>
      <c r="H312" s="7">
        <f>Table1[[#This Row],[Profit]]/Table1[[#This Row],[Revenue]] *100</f>
        <v>33.333333333333329</v>
      </c>
    </row>
    <row r="313" spans="1:8" x14ac:dyDescent="0.2">
      <c r="A313" t="s">
        <v>20</v>
      </c>
      <c r="B313" t="s">
        <v>19</v>
      </c>
      <c r="C313">
        <v>1399</v>
      </c>
      <c r="D313" s="8">
        <v>62955000</v>
      </c>
      <c r="E313">
        <v>53162000</v>
      </c>
      <c r="F313">
        <v>9793000</v>
      </c>
      <c r="G313" s="1">
        <v>45383</v>
      </c>
      <c r="H313" s="7">
        <f>Table1[[#This Row],[Profit]]/Table1[[#This Row],[Revenue]] *100</f>
        <v>15.555555555555555</v>
      </c>
    </row>
    <row r="314" spans="1:8" x14ac:dyDescent="0.2">
      <c r="A314" t="s">
        <v>22</v>
      </c>
      <c r="B314" t="s">
        <v>14</v>
      </c>
      <c r="C314">
        <v>2564</v>
      </c>
      <c r="D314" s="8">
        <v>3076800</v>
      </c>
      <c r="E314">
        <v>2051200</v>
      </c>
      <c r="F314">
        <v>1025600</v>
      </c>
      <c r="G314" s="1">
        <v>46273</v>
      </c>
      <c r="H314" s="7">
        <f>Table1[[#This Row],[Profit]]/Table1[[#This Row],[Revenue]] *100</f>
        <v>33.333333333333329</v>
      </c>
    </row>
    <row r="315" spans="1:8" x14ac:dyDescent="0.2">
      <c r="A315" t="s">
        <v>15</v>
      </c>
      <c r="B315" t="s">
        <v>8</v>
      </c>
      <c r="C315">
        <v>2511</v>
      </c>
      <c r="D315" s="8">
        <v>7533000</v>
      </c>
      <c r="E315">
        <v>4519800</v>
      </c>
      <c r="F315">
        <v>3013200</v>
      </c>
      <c r="G315" s="1">
        <v>45746</v>
      </c>
      <c r="H315" s="7">
        <f>Table1[[#This Row],[Profit]]/Table1[[#This Row],[Revenue]] *100</f>
        <v>40</v>
      </c>
    </row>
    <row r="316" spans="1:8" x14ac:dyDescent="0.2">
      <c r="A316" t="s">
        <v>18</v>
      </c>
      <c r="B316" t="s">
        <v>10</v>
      </c>
      <c r="C316">
        <v>635</v>
      </c>
      <c r="D316" s="8">
        <v>2222500</v>
      </c>
      <c r="E316">
        <v>1651000</v>
      </c>
      <c r="F316">
        <v>571500</v>
      </c>
      <c r="G316" s="1">
        <v>45889</v>
      </c>
      <c r="H316" s="7">
        <f>Table1[[#This Row],[Profit]]/Table1[[#This Row],[Revenue]] *100</f>
        <v>25.714285714285712</v>
      </c>
    </row>
    <row r="317" spans="1:8" x14ac:dyDescent="0.2">
      <c r="A317" t="s">
        <v>15</v>
      </c>
      <c r="B317" t="s">
        <v>17</v>
      </c>
      <c r="C317">
        <v>1306</v>
      </c>
      <c r="D317" s="8">
        <v>19590000</v>
      </c>
      <c r="E317">
        <v>14366000</v>
      </c>
      <c r="F317">
        <v>5224000</v>
      </c>
      <c r="G317" s="1">
        <v>45801</v>
      </c>
      <c r="H317" s="7">
        <f>Table1[[#This Row],[Profit]]/Table1[[#This Row],[Revenue]] *100</f>
        <v>26.666666666666668</v>
      </c>
    </row>
    <row r="318" spans="1:8" x14ac:dyDescent="0.2">
      <c r="A318" t="s">
        <v>16</v>
      </c>
      <c r="B318" t="s">
        <v>23</v>
      </c>
      <c r="C318">
        <v>1297</v>
      </c>
      <c r="D318" s="8">
        <v>6485000</v>
      </c>
      <c r="E318">
        <v>5447400</v>
      </c>
      <c r="F318">
        <v>1037600</v>
      </c>
      <c r="G318" s="1">
        <v>45677</v>
      </c>
      <c r="H318" s="7">
        <f>Table1[[#This Row],[Profit]]/Table1[[#This Row],[Revenue]] *100</f>
        <v>16</v>
      </c>
    </row>
    <row r="319" spans="1:8" x14ac:dyDescent="0.2">
      <c r="A319" t="s">
        <v>11</v>
      </c>
      <c r="B319" t="s">
        <v>10</v>
      </c>
      <c r="C319">
        <v>1043</v>
      </c>
      <c r="D319" s="8">
        <v>3650500</v>
      </c>
      <c r="E319">
        <v>2711800</v>
      </c>
      <c r="F319">
        <v>938700</v>
      </c>
      <c r="G319" s="1">
        <v>45696</v>
      </c>
      <c r="H319" s="7">
        <f>Table1[[#This Row],[Profit]]/Table1[[#This Row],[Revenue]] *100</f>
        <v>25.714285714285712</v>
      </c>
    </row>
    <row r="320" spans="1:8" x14ac:dyDescent="0.2">
      <c r="A320" t="s">
        <v>11</v>
      </c>
      <c r="B320" t="s">
        <v>19</v>
      </c>
      <c r="C320">
        <v>1485</v>
      </c>
      <c r="D320" s="8">
        <v>66825000</v>
      </c>
      <c r="E320">
        <v>56430000</v>
      </c>
      <c r="F320">
        <v>10395000</v>
      </c>
      <c r="G320" s="1">
        <v>45537</v>
      </c>
      <c r="H320" s="7">
        <f>Table1[[#This Row],[Profit]]/Table1[[#This Row],[Revenue]] *100</f>
        <v>15.555555555555555</v>
      </c>
    </row>
    <row r="321" spans="1:8" x14ac:dyDescent="0.2">
      <c r="A321" t="s">
        <v>20</v>
      </c>
      <c r="B321" t="s">
        <v>8</v>
      </c>
      <c r="C321">
        <v>621</v>
      </c>
      <c r="D321" s="8">
        <v>1863000</v>
      </c>
      <c r="E321">
        <v>1117800</v>
      </c>
      <c r="F321">
        <v>745200</v>
      </c>
      <c r="G321" s="1">
        <v>46033</v>
      </c>
      <c r="H321" s="7">
        <f>Table1[[#This Row],[Profit]]/Table1[[#This Row],[Revenue]] *100</f>
        <v>40</v>
      </c>
    </row>
    <row r="322" spans="1:8" x14ac:dyDescent="0.2">
      <c r="A322" t="s">
        <v>18</v>
      </c>
      <c r="B322" t="s">
        <v>8</v>
      </c>
      <c r="C322">
        <v>2432</v>
      </c>
      <c r="D322" s="8">
        <v>7296000</v>
      </c>
      <c r="E322">
        <v>4377600</v>
      </c>
      <c r="F322">
        <v>2918400</v>
      </c>
      <c r="G322" s="1">
        <v>45952</v>
      </c>
      <c r="H322" s="7">
        <f>Table1[[#This Row],[Profit]]/Table1[[#This Row],[Revenue]] *100</f>
        <v>40</v>
      </c>
    </row>
    <row r="323" spans="1:8" x14ac:dyDescent="0.2">
      <c r="A323" t="s">
        <v>7</v>
      </c>
      <c r="B323" t="s">
        <v>8</v>
      </c>
      <c r="C323">
        <v>1295</v>
      </c>
      <c r="D323" s="8">
        <v>3885000</v>
      </c>
      <c r="E323">
        <v>2331000</v>
      </c>
      <c r="F323">
        <v>1554000</v>
      </c>
      <c r="G323" s="1">
        <v>45941</v>
      </c>
      <c r="H323" s="7">
        <f>Table1[[#This Row],[Profit]]/Table1[[#This Row],[Revenue]] *100</f>
        <v>40</v>
      </c>
    </row>
    <row r="324" spans="1:8" x14ac:dyDescent="0.2">
      <c r="A324" t="s">
        <v>20</v>
      </c>
      <c r="B324" t="s">
        <v>19</v>
      </c>
      <c r="C324">
        <v>2134</v>
      </c>
      <c r="D324" s="8">
        <v>96030000</v>
      </c>
      <c r="E324">
        <v>81092000</v>
      </c>
      <c r="F324">
        <v>14938000</v>
      </c>
      <c r="G324" s="1">
        <v>46192</v>
      </c>
      <c r="H324" s="7">
        <f>Table1[[#This Row],[Profit]]/Table1[[#This Row],[Revenue]] *100</f>
        <v>15.555555555555555</v>
      </c>
    </row>
    <row r="325" spans="1:8" x14ac:dyDescent="0.2">
      <c r="A325" t="s">
        <v>15</v>
      </c>
      <c r="B325" t="s">
        <v>19</v>
      </c>
      <c r="C325">
        <v>1038</v>
      </c>
      <c r="D325" s="8">
        <v>46710000</v>
      </c>
      <c r="E325">
        <v>39444000</v>
      </c>
      <c r="F325">
        <v>7266000</v>
      </c>
      <c r="G325" s="1">
        <v>45356</v>
      </c>
      <c r="H325" s="7">
        <f>Table1[[#This Row],[Profit]]/Table1[[#This Row],[Revenue]] *100</f>
        <v>15.555555555555555</v>
      </c>
    </row>
    <row r="326" spans="1:8" x14ac:dyDescent="0.2">
      <c r="A326" t="s">
        <v>20</v>
      </c>
      <c r="B326" t="s">
        <v>19</v>
      </c>
      <c r="C326">
        <v>327</v>
      </c>
      <c r="D326" s="8">
        <v>14715000</v>
      </c>
      <c r="E326">
        <v>12426000</v>
      </c>
      <c r="F326">
        <v>2289000</v>
      </c>
      <c r="G326" s="1">
        <v>46328</v>
      </c>
      <c r="H326" s="7">
        <f>Table1[[#This Row],[Profit]]/Table1[[#This Row],[Revenue]] *100</f>
        <v>15.555555555555555</v>
      </c>
    </row>
    <row r="327" spans="1:8" x14ac:dyDescent="0.2">
      <c r="A327" t="s">
        <v>15</v>
      </c>
      <c r="B327" t="s">
        <v>19</v>
      </c>
      <c r="C327">
        <v>1269</v>
      </c>
      <c r="D327" s="8">
        <v>57105000</v>
      </c>
      <c r="E327">
        <v>48222000</v>
      </c>
      <c r="F327">
        <v>8883000</v>
      </c>
      <c r="G327" s="1">
        <v>45504</v>
      </c>
      <c r="H327" s="7">
        <f>Table1[[#This Row],[Profit]]/Table1[[#This Row],[Revenue]] *100</f>
        <v>15.555555555555555</v>
      </c>
    </row>
    <row r="328" spans="1:8" x14ac:dyDescent="0.2">
      <c r="A328" t="s">
        <v>21</v>
      </c>
      <c r="B328" t="s">
        <v>8</v>
      </c>
      <c r="C328">
        <v>1937</v>
      </c>
      <c r="D328" s="8">
        <v>5811000</v>
      </c>
      <c r="E328">
        <v>3486600</v>
      </c>
      <c r="F328">
        <v>2324400</v>
      </c>
      <c r="G328" s="1">
        <v>45533</v>
      </c>
      <c r="H328" s="7">
        <f>Table1[[#This Row],[Profit]]/Table1[[#This Row],[Revenue]] *100</f>
        <v>40</v>
      </c>
    </row>
    <row r="329" spans="1:8" x14ac:dyDescent="0.2">
      <c r="A329" t="s">
        <v>11</v>
      </c>
      <c r="B329" t="s">
        <v>8</v>
      </c>
      <c r="C329">
        <v>533</v>
      </c>
      <c r="D329" s="8">
        <v>1599000</v>
      </c>
      <c r="E329">
        <v>959400</v>
      </c>
      <c r="F329">
        <v>639600</v>
      </c>
      <c r="G329" s="1">
        <v>45784</v>
      </c>
      <c r="H329" s="7">
        <f>Table1[[#This Row],[Profit]]/Table1[[#This Row],[Revenue]] *100</f>
        <v>40</v>
      </c>
    </row>
    <row r="330" spans="1:8" x14ac:dyDescent="0.2">
      <c r="A330" t="s">
        <v>21</v>
      </c>
      <c r="B330" t="s">
        <v>14</v>
      </c>
      <c r="C330">
        <v>1315</v>
      </c>
      <c r="D330" s="8">
        <v>1578000</v>
      </c>
      <c r="E330">
        <v>1052000</v>
      </c>
      <c r="F330">
        <v>526000</v>
      </c>
      <c r="G330" s="1">
        <v>45629</v>
      </c>
      <c r="H330" s="7">
        <f>Table1[[#This Row],[Profit]]/Table1[[#This Row],[Revenue]] *100</f>
        <v>33.333333333333329</v>
      </c>
    </row>
    <row r="331" spans="1:8" x14ac:dyDescent="0.2">
      <c r="A331" t="s">
        <v>22</v>
      </c>
      <c r="B331" t="s">
        <v>10</v>
      </c>
      <c r="C331">
        <v>780</v>
      </c>
      <c r="D331" s="8">
        <v>2730000</v>
      </c>
      <c r="E331">
        <v>2028000</v>
      </c>
      <c r="F331">
        <v>702000</v>
      </c>
      <c r="G331" s="1">
        <v>45464</v>
      </c>
      <c r="H331" s="7">
        <f>Table1[[#This Row],[Profit]]/Table1[[#This Row],[Revenue]] *100</f>
        <v>25.714285714285712</v>
      </c>
    </row>
    <row r="332" spans="1:8" x14ac:dyDescent="0.2">
      <c r="A332" t="s">
        <v>18</v>
      </c>
      <c r="B332" t="s">
        <v>23</v>
      </c>
      <c r="C332">
        <v>2289</v>
      </c>
      <c r="D332" s="8">
        <v>11445000</v>
      </c>
      <c r="E332">
        <v>9613800</v>
      </c>
      <c r="F332">
        <v>1831200</v>
      </c>
      <c r="G332" s="1">
        <v>45963</v>
      </c>
      <c r="H332" s="7">
        <f>Table1[[#This Row],[Profit]]/Table1[[#This Row],[Revenue]] *100</f>
        <v>16</v>
      </c>
    </row>
    <row r="333" spans="1:8" x14ac:dyDescent="0.2">
      <c r="A333" t="s">
        <v>7</v>
      </c>
      <c r="B333" t="s">
        <v>17</v>
      </c>
      <c r="C333">
        <v>1090</v>
      </c>
      <c r="D333" s="8">
        <v>16350000</v>
      </c>
      <c r="E333">
        <v>11990000</v>
      </c>
      <c r="F333">
        <v>4360000</v>
      </c>
      <c r="G333" s="1">
        <v>45455</v>
      </c>
      <c r="H333" s="7">
        <f>Table1[[#This Row],[Profit]]/Table1[[#This Row],[Revenue]] *100</f>
        <v>26.666666666666668</v>
      </c>
    </row>
    <row r="334" spans="1:8" x14ac:dyDescent="0.2">
      <c r="A334" t="s">
        <v>15</v>
      </c>
      <c r="B334" t="s">
        <v>8</v>
      </c>
      <c r="C334">
        <v>2621</v>
      </c>
      <c r="D334" s="8">
        <v>7863000</v>
      </c>
      <c r="E334">
        <v>4717800</v>
      </c>
      <c r="F334">
        <v>3145200</v>
      </c>
      <c r="G334" s="1">
        <v>45756</v>
      </c>
      <c r="H334" s="7">
        <f>Table1[[#This Row],[Profit]]/Table1[[#This Row],[Revenue]] *100</f>
        <v>40</v>
      </c>
    </row>
    <row r="335" spans="1:8" x14ac:dyDescent="0.2">
      <c r="A335" t="s">
        <v>7</v>
      </c>
      <c r="B335" t="s">
        <v>17</v>
      </c>
      <c r="C335">
        <v>967</v>
      </c>
      <c r="D335" s="8">
        <v>14505000</v>
      </c>
      <c r="E335">
        <v>10637000</v>
      </c>
      <c r="F335">
        <v>3868000</v>
      </c>
      <c r="G335" s="1">
        <v>46286</v>
      </c>
      <c r="H335" s="7">
        <f>Table1[[#This Row],[Profit]]/Table1[[#This Row],[Revenue]] *100</f>
        <v>26.666666666666668</v>
      </c>
    </row>
    <row r="336" spans="1:8" x14ac:dyDescent="0.2">
      <c r="A336" t="s">
        <v>15</v>
      </c>
      <c r="B336" t="s">
        <v>10</v>
      </c>
      <c r="C336">
        <v>2498</v>
      </c>
      <c r="D336" s="8">
        <v>8743000</v>
      </c>
      <c r="E336">
        <v>6494800</v>
      </c>
      <c r="F336">
        <v>2248200</v>
      </c>
      <c r="G336" s="1">
        <v>45788</v>
      </c>
      <c r="H336" s="7">
        <f>Table1[[#This Row],[Profit]]/Table1[[#This Row],[Revenue]] *100</f>
        <v>25.714285714285712</v>
      </c>
    </row>
    <row r="337" spans="1:8" x14ac:dyDescent="0.2">
      <c r="A337" t="s">
        <v>16</v>
      </c>
      <c r="B337" t="s">
        <v>10</v>
      </c>
      <c r="C337">
        <v>935</v>
      </c>
      <c r="D337" s="8">
        <v>3272500</v>
      </c>
      <c r="E337">
        <v>2431000</v>
      </c>
      <c r="F337">
        <v>841500</v>
      </c>
      <c r="G337" s="1">
        <v>45991</v>
      </c>
      <c r="H337" s="7">
        <f>Table1[[#This Row],[Profit]]/Table1[[#This Row],[Revenue]] *100</f>
        <v>25.714285714285712</v>
      </c>
    </row>
    <row r="338" spans="1:8" x14ac:dyDescent="0.2">
      <c r="A338" t="s">
        <v>20</v>
      </c>
      <c r="B338" t="s">
        <v>17</v>
      </c>
      <c r="C338">
        <v>2802</v>
      </c>
      <c r="D338" s="8">
        <v>42030000</v>
      </c>
      <c r="E338">
        <v>30822000</v>
      </c>
      <c r="F338">
        <v>11208000</v>
      </c>
      <c r="G338" s="1">
        <v>45686</v>
      </c>
      <c r="H338" s="7">
        <f>Table1[[#This Row],[Profit]]/Table1[[#This Row],[Revenue]] *100</f>
        <v>26.666666666666668</v>
      </c>
    </row>
    <row r="339" spans="1:8" x14ac:dyDescent="0.2">
      <c r="A339" t="s">
        <v>22</v>
      </c>
      <c r="B339" t="s">
        <v>8</v>
      </c>
      <c r="C339">
        <v>71</v>
      </c>
      <c r="D339" s="8">
        <v>213000</v>
      </c>
      <c r="E339">
        <v>127800</v>
      </c>
      <c r="F339">
        <v>85200</v>
      </c>
      <c r="G339" s="1">
        <v>45994</v>
      </c>
      <c r="H339" s="7">
        <f>Table1[[#This Row],[Profit]]/Table1[[#This Row],[Revenue]] *100</f>
        <v>40</v>
      </c>
    </row>
    <row r="340" spans="1:8" x14ac:dyDescent="0.2">
      <c r="A340" t="s">
        <v>11</v>
      </c>
      <c r="B340" t="s">
        <v>17</v>
      </c>
      <c r="C340">
        <v>523</v>
      </c>
      <c r="D340" s="8">
        <v>7845000</v>
      </c>
      <c r="E340">
        <v>5753000</v>
      </c>
      <c r="F340">
        <v>2092000</v>
      </c>
      <c r="G340" s="1">
        <v>45599</v>
      </c>
      <c r="H340" s="7">
        <f>Table1[[#This Row],[Profit]]/Table1[[#This Row],[Revenue]] *100</f>
        <v>26.666666666666668</v>
      </c>
    </row>
    <row r="341" spans="1:8" x14ac:dyDescent="0.2">
      <c r="A341" t="s">
        <v>15</v>
      </c>
      <c r="B341" t="s">
        <v>14</v>
      </c>
      <c r="C341">
        <v>2307</v>
      </c>
      <c r="D341" s="8">
        <v>2768400</v>
      </c>
      <c r="E341">
        <v>1845600</v>
      </c>
      <c r="F341">
        <v>922800</v>
      </c>
      <c r="G341" s="1">
        <v>45474</v>
      </c>
      <c r="H341" s="7">
        <f>Table1[[#This Row],[Profit]]/Table1[[#This Row],[Revenue]] *100</f>
        <v>33.333333333333329</v>
      </c>
    </row>
    <row r="342" spans="1:8" x14ac:dyDescent="0.2">
      <c r="A342" t="s">
        <v>7</v>
      </c>
      <c r="B342" t="s">
        <v>12</v>
      </c>
      <c r="C342">
        <v>2403</v>
      </c>
      <c r="D342" s="8">
        <v>2883600</v>
      </c>
      <c r="E342">
        <v>2042550</v>
      </c>
      <c r="F342">
        <v>841050</v>
      </c>
      <c r="G342" s="1">
        <v>45920</v>
      </c>
      <c r="H342" s="7">
        <f>Table1[[#This Row],[Profit]]/Table1[[#This Row],[Revenue]] *100</f>
        <v>29.166666666666668</v>
      </c>
    </row>
    <row r="343" spans="1:8" x14ac:dyDescent="0.2">
      <c r="A343" t="s">
        <v>22</v>
      </c>
      <c r="B343" t="s">
        <v>8</v>
      </c>
      <c r="C343">
        <v>753</v>
      </c>
      <c r="D343" s="8">
        <v>2259000</v>
      </c>
      <c r="E343">
        <v>1355400</v>
      </c>
      <c r="F343">
        <v>903600</v>
      </c>
      <c r="G343" s="1">
        <v>45801</v>
      </c>
      <c r="H343" s="7">
        <f>Table1[[#This Row],[Profit]]/Table1[[#This Row],[Revenue]] *100</f>
        <v>40</v>
      </c>
    </row>
    <row r="344" spans="1:8" x14ac:dyDescent="0.2">
      <c r="A344" t="s">
        <v>9</v>
      </c>
      <c r="B344" t="s">
        <v>8</v>
      </c>
      <c r="C344">
        <v>736</v>
      </c>
      <c r="D344" s="8">
        <v>2208000</v>
      </c>
      <c r="E344">
        <v>1324800</v>
      </c>
      <c r="F344">
        <v>883200</v>
      </c>
      <c r="G344" s="1">
        <v>45837</v>
      </c>
      <c r="H344" s="7">
        <f>Table1[[#This Row],[Profit]]/Table1[[#This Row],[Revenue]] *100</f>
        <v>40</v>
      </c>
    </row>
    <row r="345" spans="1:8" x14ac:dyDescent="0.2">
      <c r="A345" t="s">
        <v>9</v>
      </c>
      <c r="B345" t="s">
        <v>23</v>
      </c>
      <c r="C345">
        <v>334</v>
      </c>
      <c r="D345" s="8">
        <v>1670000</v>
      </c>
      <c r="E345">
        <v>1402800</v>
      </c>
      <c r="F345">
        <v>267200</v>
      </c>
      <c r="G345" s="1">
        <v>45915</v>
      </c>
      <c r="H345" s="7">
        <f>Table1[[#This Row],[Profit]]/Table1[[#This Row],[Revenue]] *100</f>
        <v>16</v>
      </c>
    </row>
    <row r="346" spans="1:8" x14ac:dyDescent="0.2">
      <c r="A346" t="s">
        <v>21</v>
      </c>
      <c r="B346" t="s">
        <v>19</v>
      </c>
      <c r="C346">
        <v>765</v>
      </c>
      <c r="D346" s="8">
        <v>34425000</v>
      </c>
      <c r="E346">
        <v>29070000</v>
      </c>
      <c r="F346">
        <v>5355000</v>
      </c>
      <c r="G346" s="1">
        <v>45885</v>
      </c>
      <c r="H346" s="7">
        <f>Table1[[#This Row],[Profit]]/Table1[[#This Row],[Revenue]] *100</f>
        <v>15.555555555555555</v>
      </c>
    </row>
    <row r="347" spans="1:8" x14ac:dyDescent="0.2">
      <c r="A347" t="s">
        <v>11</v>
      </c>
      <c r="B347" t="s">
        <v>12</v>
      </c>
      <c r="C347">
        <v>812</v>
      </c>
      <c r="D347" s="8">
        <v>974400</v>
      </c>
      <c r="E347">
        <v>690200</v>
      </c>
      <c r="F347">
        <v>284200</v>
      </c>
      <c r="G347" s="1">
        <v>46035</v>
      </c>
      <c r="H347" s="7">
        <f>Table1[[#This Row],[Profit]]/Table1[[#This Row],[Revenue]] *100</f>
        <v>29.166666666666668</v>
      </c>
    </row>
    <row r="348" spans="1:8" x14ac:dyDescent="0.2">
      <c r="A348" t="s">
        <v>16</v>
      </c>
      <c r="B348" t="s">
        <v>10</v>
      </c>
      <c r="C348">
        <v>1300</v>
      </c>
      <c r="D348" s="8">
        <v>4550000</v>
      </c>
      <c r="E348">
        <v>3380000</v>
      </c>
      <c r="F348">
        <v>1170000</v>
      </c>
      <c r="G348" s="1">
        <v>45845</v>
      </c>
      <c r="H348" s="7">
        <f>Table1[[#This Row],[Profit]]/Table1[[#This Row],[Revenue]] *100</f>
        <v>25.714285714285712</v>
      </c>
    </row>
    <row r="349" spans="1:8" x14ac:dyDescent="0.2">
      <c r="A349" t="s">
        <v>7</v>
      </c>
      <c r="B349" t="s">
        <v>8</v>
      </c>
      <c r="C349">
        <v>997</v>
      </c>
      <c r="D349" s="8">
        <v>2991000</v>
      </c>
      <c r="E349">
        <v>1794600</v>
      </c>
      <c r="F349">
        <v>1196400</v>
      </c>
      <c r="G349" s="1">
        <v>45312</v>
      </c>
      <c r="H349" s="7">
        <f>Table1[[#This Row],[Profit]]/Table1[[#This Row],[Revenue]] *100</f>
        <v>40</v>
      </c>
    </row>
    <row r="350" spans="1:8" x14ac:dyDescent="0.2">
      <c r="A350" t="s">
        <v>20</v>
      </c>
      <c r="B350" t="s">
        <v>17</v>
      </c>
      <c r="C350">
        <v>2478</v>
      </c>
      <c r="D350" s="8">
        <v>37170000</v>
      </c>
      <c r="E350">
        <v>27258000</v>
      </c>
      <c r="F350">
        <v>9912000</v>
      </c>
      <c r="G350" s="1">
        <v>45845</v>
      </c>
      <c r="H350" s="7">
        <f>Table1[[#This Row],[Profit]]/Table1[[#This Row],[Revenue]] *100</f>
        <v>26.666666666666668</v>
      </c>
    </row>
    <row r="351" spans="1:8" x14ac:dyDescent="0.2">
      <c r="A351" t="s">
        <v>20</v>
      </c>
      <c r="B351" t="s">
        <v>12</v>
      </c>
      <c r="C351">
        <v>2557</v>
      </c>
      <c r="D351" s="8">
        <v>3068400</v>
      </c>
      <c r="E351">
        <v>2173450</v>
      </c>
      <c r="F351">
        <v>894950</v>
      </c>
      <c r="G351" s="1">
        <v>45688</v>
      </c>
      <c r="H351" s="7">
        <f>Table1[[#This Row],[Profit]]/Table1[[#This Row],[Revenue]] *100</f>
        <v>29.166666666666668</v>
      </c>
    </row>
    <row r="352" spans="1:8" x14ac:dyDescent="0.2">
      <c r="A352" t="s">
        <v>7</v>
      </c>
      <c r="B352" t="s">
        <v>23</v>
      </c>
      <c r="C352">
        <v>1080</v>
      </c>
      <c r="D352" s="8">
        <v>5400000</v>
      </c>
      <c r="E352">
        <v>4536000</v>
      </c>
      <c r="F352">
        <v>864000</v>
      </c>
      <c r="G352" s="1">
        <v>45916</v>
      </c>
      <c r="H352" s="7">
        <f>Table1[[#This Row],[Profit]]/Table1[[#This Row],[Revenue]] *100</f>
        <v>16</v>
      </c>
    </row>
    <row r="353" spans="1:8" x14ac:dyDescent="0.2">
      <c r="A353" t="s">
        <v>18</v>
      </c>
      <c r="B353" t="s">
        <v>10</v>
      </c>
      <c r="C353">
        <v>78</v>
      </c>
      <c r="D353" s="8">
        <v>273000</v>
      </c>
      <c r="E353">
        <v>202800</v>
      </c>
      <c r="F353">
        <v>70200</v>
      </c>
      <c r="G353" s="1">
        <v>45396</v>
      </c>
      <c r="H353" s="7">
        <f>Table1[[#This Row],[Profit]]/Table1[[#This Row],[Revenue]] *100</f>
        <v>25.714285714285712</v>
      </c>
    </row>
    <row r="354" spans="1:8" x14ac:dyDescent="0.2">
      <c r="A354" t="s">
        <v>16</v>
      </c>
      <c r="B354" t="s">
        <v>19</v>
      </c>
      <c r="C354">
        <v>956</v>
      </c>
      <c r="D354" s="8">
        <v>43020000</v>
      </c>
      <c r="E354">
        <v>36328000</v>
      </c>
      <c r="F354">
        <v>6692000</v>
      </c>
      <c r="G354" s="1">
        <v>45483</v>
      </c>
      <c r="H354" s="7">
        <f>Table1[[#This Row],[Profit]]/Table1[[#This Row],[Revenue]] *100</f>
        <v>15.555555555555555</v>
      </c>
    </row>
    <row r="355" spans="1:8" x14ac:dyDescent="0.2">
      <c r="A355" t="s">
        <v>22</v>
      </c>
      <c r="B355" t="s">
        <v>19</v>
      </c>
      <c r="C355">
        <v>2976</v>
      </c>
      <c r="D355" s="8">
        <v>133920000</v>
      </c>
      <c r="E355">
        <v>113088000</v>
      </c>
      <c r="F355">
        <v>20832000</v>
      </c>
      <c r="G355" s="1">
        <v>45308</v>
      </c>
      <c r="H355" s="7">
        <f>Table1[[#This Row],[Profit]]/Table1[[#This Row],[Revenue]] *100</f>
        <v>15.555555555555555</v>
      </c>
    </row>
    <row r="356" spans="1:8" x14ac:dyDescent="0.2">
      <c r="A356" t="s">
        <v>15</v>
      </c>
      <c r="B356" t="s">
        <v>23</v>
      </c>
      <c r="C356">
        <v>2176</v>
      </c>
      <c r="D356" s="8">
        <v>10880000</v>
      </c>
      <c r="E356">
        <v>9139200</v>
      </c>
      <c r="F356">
        <v>1740800</v>
      </c>
      <c r="G356" s="1">
        <v>45684</v>
      </c>
      <c r="H356" s="7">
        <f>Table1[[#This Row],[Profit]]/Table1[[#This Row],[Revenue]] *100</f>
        <v>16</v>
      </c>
    </row>
    <row r="357" spans="1:8" x14ac:dyDescent="0.2">
      <c r="A357" t="s">
        <v>18</v>
      </c>
      <c r="B357" t="s">
        <v>23</v>
      </c>
      <c r="C357">
        <v>2556</v>
      </c>
      <c r="D357" s="8">
        <v>12780000</v>
      </c>
      <c r="E357">
        <v>10735200</v>
      </c>
      <c r="F357">
        <v>2044800</v>
      </c>
      <c r="G357" s="1">
        <v>45716</v>
      </c>
      <c r="H357" s="7">
        <f>Table1[[#This Row],[Profit]]/Table1[[#This Row],[Revenue]] *100</f>
        <v>16</v>
      </c>
    </row>
    <row r="358" spans="1:8" x14ac:dyDescent="0.2">
      <c r="A358" t="s">
        <v>15</v>
      </c>
      <c r="B358" t="s">
        <v>17</v>
      </c>
      <c r="C358">
        <v>619</v>
      </c>
      <c r="D358" s="8">
        <v>9285000</v>
      </c>
      <c r="E358">
        <v>6809000</v>
      </c>
      <c r="F358">
        <v>2476000</v>
      </c>
      <c r="G358" s="1">
        <v>45420</v>
      </c>
      <c r="H358" s="7">
        <f>Table1[[#This Row],[Profit]]/Table1[[#This Row],[Revenue]] *100</f>
        <v>26.666666666666668</v>
      </c>
    </row>
    <row r="359" spans="1:8" x14ac:dyDescent="0.2">
      <c r="A359" t="s">
        <v>15</v>
      </c>
      <c r="B359" t="s">
        <v>8</v>
      </c>
      <c r="C359">
        <v>2056</v>
      </c>
      <c r="D359" s="8">
        <v>6168000</v>
      </c>
      <c r="E359">
        <v>3700800</v>
      </c>
      <c r="F359">
        <v>2467200</v>
      </c>
      <c r="G359" s="1">
        <v>45863</v>
      </c>
      <c r="H359" s="7">
        <f>Table1[[#This Row],[Profit]]/Table1[[#This Row],[Revenue]] *100</f>
        <v>40</v>
      </c>
    </row>
    <row r="360" spans="1:8" x14ac:dyDescent="0.2">
      <c r="A360" t="s">
        <v>18</v>
      </c>
      <c r="B360" t="s">
        <v>19</v>
      </c>
      <c r="C360">
        <v>1503</v>
      </c>
      <c r="D360" s="8">
        <v>67635000</v>
      </c>
      <c r="E360">
        <v>57114000</v>
      </c>
      <c r="F360">
        <v>10521000</v>
      </c>
      <c r="G360" s="1">
        <v>45320</v>
      </c>
      <c r="H360" s="7">
        <f>Table1[[#This Row],[Profit]]/Table1[[#This Row],[Revenue]] *100</f>
        <v>15.555555555555555</v>
      </c>
    </row>
    <row r="361" spans="1:8" x14ac:dyDescent="0.2">
      <c r="A361" t="s">
        <v>21</v>
      </c>
      <c r="B361" t="s">
        <v>10</v>
      </c>
      <c r="C361">
        <v>787</v>
      </c>
      <c r="D361" s="8">
        <v>2754500</v>
      </c>
      <c r="E361">
        <v>2046200</v>
      </c>
      <c r="F361">
        <v>708300</v>
      </c>
      <c r="G361" s="1">
        <v>46325</v>
      </c>
      <c r="H361" s="7">
        <f>Table1[[#This Row],[Profit]]/Table1[[#This Row],[Revenue]] *100</f>
        <v>25.714285714285712</v>
      </c>
    </row>
    <row r="362" spans="1:8" x14ac:dyDescent="0.2">
      <c r="A362" t="s">
        <v>9</v>
      </c>
      <c r="B362" t="s">
        <v>12</v>
      </c>
      <c r="C362">
        <v>565</v>
      </c>
      <c r="D362" s="8">
        <v>678000</v>
      </c>
      <c r="E362">
        <v>480250</v>
      </c>
      <c r="F362">
        <v>197750</v>
      </c>
      <c r="G362" s="1">
        <v>45533</v>
      </c>
      <c r="H362" s="7">
        <f>Table1[[#This Row],[Profit]]/Table1[[#This Row],[Revenue]] *100</f>
        <v>29.166666666666668</v>
      </c>
    </row>
    <row r="363" spans="1:8" x14ac:dyDescent="0.2">
      <c r="A363" t="s">
        <v>15</v>
      </c>
      <c r="B363" t="s">
        <v>10</v>
      </c>
      <c r="C363">
        <v>2050</v>
      </c>
      <c r="D363" s="8">
        <v>7175000</v>
      </c>
      <c r="E363">
        <v>5330000</v>
      </c>
      <c r="F363">
        <v>1845000</v>
      </c>
      <c r="G363" s="1">
        <v>45523</v>
      </c>
      <c r="H363" s="7">
        <f>Table1[[#This Row],[Profit]]/Table1[[#This Row],[Revenue]] *100</f>
        <v>25.714285714285712</v>
      </c>
    </row>
    <row r="364" spans="1:8" x14ac:dyDescent="0.2">
      <c r="A364" t="s">
        <v>18</v>
      </c>
      <c r="B364" t="s">
        <v>14</v>
      </c>
      <c r="C364">
        <v>2494</v>
      </c>
      <c r="D364" s="8">
        <v>2992800</v>
      </c>
      <c r="E364">
        <v>1995200</v>
      </c>
      <c r="F364">
        <v>997600</v>
      </c>
      <c r="G364" s="1">
        <v>46080</v>
      </c>
      <c r="H364" s="7">
        <f>Table1[[#This Row],[Profit]]/Table1[[#This Row],[Revenue]] *100</f>
        <v>33.333333333333329</v>
      </c>
    </row>
    <row r="365" spans="1:8" x14ac:dyDescent="0.2">
      <c r="A365" t="s">
        <v>18</v>
      </c>
      <c r="B365" t="s">
        <v>14</v>
      </c>
      <c r="C365">
        <v>88</v>
      </c>
      <c r="D365" s="8">
        <v>105600</v>
      </c>
      <c r="E365">
        <v>70400</v>
      </c>
      <c r="F365">
        <v>35200</v>
      </c>
      <c r="G365" s="1">
        <v>46006</v>
      </c>
      <c r="H365" s="7">
        <f>Table1[[#This Row],[Profit]]/Table1[[#This Row],[Revenue]] *100</f>
        <v>33.333333333333329</v>
      </c>
    </row>
    <row r="366" spans="1:8" x14ac:dyDescent="0.2">
      <c r="A366" t="s">
        <v>13</v>
      </c>
      <c r="B366" t="s">
        <v>23</v>
      </c>
      <c r="C366">
        <v>936</v>
      </c>
      <c r="D366" s="8">
        <v>4680000</v>
      </c>
      <c r="E366">
        <v>3931200</v>
      </c>
      <c r="F366">
        <v>748800</v>
      </c>
      <c r="G366" s="1">
        <v>46050</v>
      </c>
      <c r="H366" s="7">
        <f>Table1[[#This Row],[Profit]]/Table1[[#This Row],[Revenue]] *100</f>
        <v>16</v>
      </c>
    </row>
    <row r="367" spans="1:8" x14ac:dyDescent="0.2">
      <c r="A367" t="s">
        <v>21</v>
      </c>
      <c r="B367" t="s">
        <v>17</v>
      </c>
      <c r="C367">
        <v>2894</v>
      </c>
      <c r="D367" s="8">
        <v>43410000</v>
      </c>
      <c r="E367">
        <v>31834000</v>
      </c>
      <c r="F367">
        <v>11576000</v>
      </c>
      <c r="G367" s="1">
        <v>46093</v>
      </c>
      <c r="H367" s="7">
        <f>Table1[[#This Row],[Profit]]/Table1[[#This Row],[Revenue]] *100</f>
        <v>26.666666666666668</v>
      </c>
    </row>
    <row r="368" spans="1:8" x14ac:dyDescent="0.2">
      <c r="A368" t="s">
        <v>11</v>
      </c>
      <c r="B368" t="s">
        <v>14</v>
      </c>
      <c r="C368">
        <v>2254</v>
      </c>
      <c r="D368" s="8">
        <v>2704800</v>
      </c>
      <c r="E368">
        <v>1803200</v>
      </c>
      <c r="F368">
        <v>901600</v>
      </c>
      <c r="G368" s="1">
        <v>46067</v>
      </c>
      <c r="H368" s="7">
        <f>Table1[[#This Row],[Profit]]/Table1[[#This Row],[Revenue]] *100</f>
        <v>33.333333333333329</v>
      </c>
    </row>
    <row r="369" spans="1:8" x14ac:dyDescent="0.2">
      <c r="A369" t="s">
        <v>13</v>
      </c>
      <c r="B369" t="s">
        <v>19</v>
      </c>
      <c r="C369">
        <v>1148</v>
      </c>
      <c r="D369" s="8">
        <v>51660000</v>
      </c>
      <c r="E369">
        <v>43624000</v>
      </c>
      <c r="F369">
        <v>8036000</v>
      </c>
      <c r="G369" s="1">
        <v>46017</v>
      </c>
      <c r="H369" s="7">
        <f>Table1[[#This Row],[Profit]]/Table1[[#This Row],[Revenue]] *100</f>
        <v>15.555555555555555</v>
      </c>
    </row>
    <row r="370" spans="1:8" x14ac:dyDescent="0.2">
      <c r="A370" t="s">
        <v>13</v>
      </c>
      <c r="B370" t="s">
        <v>10</v>
      </c>
      <c r="C370">
        <v>2981</v>
      </c>
      <c r="D370" s="8">
        <v>10433500</v>
      </c>
      <c r="E370">
        <v>7750600</v>
      </c>
      <c r="F370">
        <v>2682900</v>
      </c>
      <c r="G370" s="1">
        <v>45491</v>
      </c>
      <c r="H370" s="7">
        <f>Table1[[#This Row],[Profit]]/Table1[[#This Row],[Revenue]] *100</f>
        <v>25.714285714285712</v>
      </c>
    </row>
    <row r="371" spans="1:8" x14ac:dyDescent="0.2">
      <c r="A371" t="s">
        <v>7</v>
      </c>
      <c r="B371" t="s">
        <v>10</v>
      </c>
      <c r="C371">
        <v>1873</v>
      </c>
      <c r="D371" s="8">
        <v>6555500</v>
      </c>
      <c r="E371">
        <v>4869800</v>
      </c>
      <c r="F371">
        <v>1685700</v>
      </c>
      <c r="G371" s="1">
        <v>46236</v>
      </c>
      <c r="H371" s="7">
        <f>Table1[[#This Row],[Profit]]/Table1[[#This Row],[Revenue]] *100</f>
        <v>25.714285714285712</v>
      </c>
    </row>
    <row r="372" spans="1:8" x14ac:dyDescent="0.2">
      <c r="A372" t="s">
        <v>9</v>
      </c>
      <c r="B372" t="s">
        <v>23</v>
      </c>
      <c r="C372">
        <v>1760</v>
      </c>
      <c r="D372" s="8">
        <v>8800000</v>
      </c>
      <c r="E372">
        <v>7392000</v>
      </c>
      <c r="F372">
        <v>1408000</v>
      </c>
      <c r="G372" s="1">
        <v>45370</v>
      </c>
      <c r="H372" s="7">
        <f>Table1[[#This Row],[Profit]]/Table1[[#This Row],[Revenue]] *100</f>
        <v>16</v>
      </c>
    </row>
    <row r="373" spans="1:8" x14ac:dyDescent="0.2">
      <c r="A373" t="s">
        <v>18</v>
      </c>
      <c r="B373" t="s">
        <v>8</v>
      </c>
      <c r="C373">
        <v>1023</v>
      </c>
      <c r="D373" s="8">
        <v>3069000</v>
      </c>
      <c r="E373">
        <v>1841400</v>
      </c>
      <c r="F373">
        <v>1227600</v>
      </c>
      <c r="G373" s="1">
        <v>46247</v>
      </c>
      <c r="H373" s="7">
        <f>Table1[[#This Row],[Profit]]/Table1[[#This Row],[Revenue]] *100</f>
        <v>40</v>
      </c>
    </row>
    <row r="374" spans="1:8" x14ac:dyDescent="0.2">
      <c r="A374" t="s">
        <v>9</v>
      </c>
      <c r="B374" t="s">
        <v>8</v>
      </c>
      <c r="C374">
        <v>1612</v>
      </c>
      <c r="D374" s="8">
        <v>4836000</v>
      </c>
      <c r="E374">
        <v>2901600</v>
      </c>
      <c r="F374">
        <v>1934400</v>
      </c>
      <c r="G374" s="1">
        <v>46147</v>
      </c>
      <c r="H374" s="7">
        <f>Table1[[#This Row],[Profit]]/Table1[[#This Row],[Revenue]] *100</f>
        <v>40</v>
      </c>
    </row>
    <row r="375" spans="1:8" x14ac:dyDescent="0.2">
      <c r="A375" t="s">
        <v>16</v>
      </c>
      <c r="B375" t="s">
        <v>12</v>
      </c>
      <c r="C375">
        <v>2946</v>
      </c>
      <c r="D375" s="8">
        <v>3535200</v>
      </c>
      <c r="E375">
        <v>2504100</v>
      </c>
      <c r="F375">
        <v>1031100</v>
      </c>
      <c r="G375" s="1">
        <v>45758</v>
      </c>
      <c r="H375" s="7">
        <f>Table1[[#This Row],[Profit]]/Table1[[#This Row],[Revenue]] *100</f>
        <v>29.166666666666668</v>
      </c>
    </row>
    <row r="376" spans="1:8" x14ac:dyDescent="0.2">
      <c r="A376" t="s">
        <v>7</v>
      </c>
      <c r="B376" t="s">
        <v>23</v>
      </c>
      <c r="C376">
        <v>2845</v>
      </c>
      <c r="D376" s="8">
        <v>14225000</v>
      </c>
      <c r="E376">
        <v>11949000</v>
      </c>
      <c r="F376">
        <v>2276000</v>
      </c>
      <c r="G376" s="1">
        <v>45872</v>
      </c>
      <c r="H376" s="7">
        <f>Table1[[#This Row],[Profit]]/Table1[[#This Row],[Revenue]] *100</f>
        <v>16</v>
      </c>
    </row>
    <row r="377" spans="1:8" x14ac:dyDescent="0.2">
      <c r="A377" t="s">
        <v>11</v>
      </c>
      <c r="B377" t="s">
        <v>12</v>
      </c>
      <c r="C377">
        <v>1038</v>
      </c>
      <c r="D377" s="8">
        <v>1245600</v>
      </c>
      <c r="E377">
        <v>882300</v>
      </c>
      <c r="F377">
        <v>363300</v>
      </c>
      <c r="G377" s="1">
        <v>46231</v>
      </c>
      <c r="H377" s="7">
        <f>Table1[[#This Row],[Profit]]/Table1[[#This Row],[Revenue]] *100</f>
        <v>29.166666666666668</v>
      </c>
    </row>
    <row r="378" spans="1:8" x14ac:dyDescent="0.2">
      <c r="A378" t="s">
        <v>9</v>
      </c>
      <c r="B378" t="s">
        <v>8</v>
      </c>
      <c r="C378">
        <v>70</v>
      </c>
      <c r="D378" s="8">
        <v>210000</v>
      </c>
      <c r="E378">
        <v>126000</v>
      </c>
      <c r="F378">
        <v>84000</v>
      </c>
      <c r="G378" s="1">
        <v>45740</v>
      </c>
      <c r="H378" s="7">
        <f>Table1[[#This Row],[Profit]]/Table1[[#This Row],[Revenue]] *100</f>
        <v>40</v>
      </c>
    </row>
    <row r="379" spans="1:8" x14ac:dyDescent="0.2">
      <c r="A379" t="s">
        <v>20</v>
      </c>
      <c r="B379" t="s">
        <v>23</v>
      </c>
      <c r="C379">
        <v>2400</v>
      </c>
      <c r="D379" s="8">
        <v>12000000</v>
      </c>
      <c r="E379">
        <v>10080000</v>
      </c>
      <c r="F379">
        <v>1920000</v>
      </c>
      <c r="G379" s="1">
        <v>45378</v>
      </c>
      <c r="H379" s="7">
        <f>Table1[[#This Row],[Profit]]/Table1[[#This Row],[Revenue]] *100</f>
        <v>16</v>
      </c>
    </row>
    <row r="380" spans="1:8" x14ac:dyDescent="0.2">
      <c r="A380" t="s">
        <v>15</v>
      </c>
      <c r="B380" t="s">
        <v>23</v>
      </c>
      <c r="C380">
        <v>918</v>
      </c>
      <c r="D380" s="8">
        <v>4590000</v>
      </c>
      <c r="E380">
        <v>3855600</v>
      </c>
      <c r="F380">
        <v>734400</v>
      </c>
      <c r="G380" s="1">
        <v>45392</v>
      </c>
      <c r="H380" s="7">
        <f>Table1[[#This Row],[Profit]]/Table1[[#This Row],[Revenue]] *100</f>
        <v>16</v>
      </c>
    </row>
    <row r="381" spans="1:8" x14ac:dyDescent="0.2">
      <c r="A381" t="s">
        <v>16</v>
      </c>
      <c r="B381" t="s">
        <v>23</v>
      </c>
      <c r="C381">
        <v>133</v>
      </c>
      <c r="D381" s="8">
        <v>665000</v>
      </c>
      <c r="E381">
        <v>558600</v>
      </c>
      <c r="F381">
        <v>106400</v>
      </c>
      <c r="G381" s="1">
        <v>46323</v>
      </c>
      <c r="H381" s="7">
        <f>Table1[[#This Row],[Profit]]/Table1[[#This Row],[Revenue]] *100</f>
        <v>16</v>
      </c>
    </row>
    <row r="382" spans="1:8" x14ac:dyDescent="0.2">
      <c r="A382" t="s">
        <v>21</v>
      </c>
      <c r="B382" t="s">
        <v>8</v>
      </c>
      <c r="C382">
        <v>1732</v>
      </c>
      <c r="D382" s="8">
        <v>5196000</v>
      </c>
      <c r="E382">
        <v>3117600</v>
      </c>
      <c r="F382">
        <v>2078400</v>
      </c>
      <c r="G382" s="1">
        <v>46136</v>
      </c>
      <c r="H382" s="7">
        <f>Table1[[#This Row],[Profit]]/Table1[[#This Row],[Revenue]] *100</f>
        <v>40</v>
      </c>
    </row>
    <row r="383" spans="1:8" x14ac:dyDescent="0.2">
      <c r="A383" t="s">
        <v>11</v>
      </c>
      <c r="B383" t="s">
        <v>12</v>
      </c>
      <c r="C383">
        <v>2026</v>
      </c>
      <c r="D383" s="8">
        <v>2431200</v>
      </c>
      <c r="E383">
        <v>1722100</v>
      </c>
      <c r="F383">
        <v>709100</v>
      </c>
      <c r="G383" s="1">
        <v>45378</v>
      </c>
      <c r="H383" s="7">
        <f>Table1[[#This Row],[Profit]]/Table1[[#This Row],[Revenue]] *100</f>
        <v>29.166666666666668</v>
      </c>
    </row>
    <row r="384" spans="1:8" x14ac:dyDescent="0.2">
      <c r="A384" t="s">
        <v>16</v>
      </c>
      <c r="B384" t="s">
        <v>12</v>
      </c>
      <c r="C384">
        <v>1460</v>
      </c>
      <c r="D384" s="8">
        <v>1752000</v>
      </c>
      <c r="E384">
        <v>1241000</v>
      </c>
      <c r="F384">
        <v>511000</v>
      </c>
      <c r="G384" s="1">
        <v>45334</v>
      </c>
      <c r="H384" s="7">
        <f>Table1[[#This Row],[Profit]]/Table1[[#This Row],[Revenue]] *100</f>
        <v>29.166666666666668</v>
      </c>
    </row>
    <row r="385" spans="1:8" x14ac:dyDescent="0.2">
      <c r="A385" t="s">
        <v>15</v>
      </c>
      <c r="B385" t="s">
        <v>23</v>
      </c>
      <c r="C385">
        <v>1580</v>
      </c>
      <c r="D385" s="8">
        <v>7900000</v>
      </c>
      <c r="E385">
        <v>6636000</v>
      </c>
      <c r="F385">
        <v>1264000</v>
      </c>
      <c r="G385" s="1">
        <v>45699</v>
      </c>
      <c r="H385" s="7">
        <f>Table1[[#This Row],[Profit]]/Table1[[#This Row],[Revenue]] *100</f>
        <v>16</v>
      </c>
    </row>
    <row r="386" spans="1:8" x14ac:dyDescent="0.2">
      <c r="A386" t="s">
        <v>7</v>
      </c>
      <c r="B386" t="s">
        <v>14</v>
      </c>
      <c r="C386">
        <v>619</v>
      </c>
      <c r="D386" s="8">
        <v>742800</v>
      </c>
      <c r="E386">
        <v>495200</v>
      </c>
      <c r="F386">
        <v>247600</v>
      </c>
      <c r="G386" s="1">
        <v>45955</v>
      </c>
      <c r="H386" s="7">
        <f>Table1[[#This Row],[Profit]]/Table1[[#This Row],[Revenue]] *100</f>
        <v>33.333333333333329</v>
      </c>
    </row>
    <row r="387" spans="1:8" x14ac:dyDescent="0.2">
      <c r="A387" t="s">
        <v>15</v>
      </c>
      <c r="B387" t="s">
        <v>17</v>
      </c>
      <c r="C387">
        <v>983</v>
      </c>
      <c r="D387" s="8">
        <v>14745000</v>
      </c>
      <c r="E387">
        <v>10813000</v>
      </c>
      <c r="F387">
        <v>3932000</v>
      </c>
      <c r="G387" s="1">
        <v>46332</v>
      </c>
      <c r="H387" s="7">
        <f>Table1[[#This Row],[Profit]]/Table1[[#This Row],[Revenue]] *100</f>
        <v>26.666666666666668</v>
      </c>
    </row>
    <row r="388" spans="1:8" x14ac:dyDescent="0.2">
      <c r="A388" t="s">
        <v>13</v>
      </c>
      <c r="B388" t="s">
        <v>8</v>
      </c>
      <c r="C388">
        <v>2030</v>
      </c>
      <c r="D388" s="8">
        <v>6090000</v>
      </c>
      <c r="E388">
        <v>3654000</v>
      </c>
      <c r="F388">
        <v>2436000</v>
      </c>
      <c r="G388" s="1">
        <v>45439</v>
      </c>
      <c r="H388" s="7">
        <f>Table1[[#This Row],[Profit]]/Table1[[#This Row],[Revenue]] *100</f>
        <v>40</v>
      </c>
    </row>
    <row r="389" spans="1:8" x14ac:dyDescent="0.2">
      <c r="A389" t="s">
        <v>15</v>
      </c>
      <c r="B389" t="s">
        <v>17</v>
      </c>
      <c r="C389">
        <v>1905</v>
      </c>
      <c r="D389" s="8">
        <v>28575000</v>
      </c>
      <c r="E389">
        <v>20955000</v>
      </c>
      <c r="F389">
        <v>7620000</v>
      </c>
      <c r="G389" s="1">
        <v>45568</v>
      </c>
      <c r="H389" s="7">
        <f>Table1[[#This Row],[Profit]]/Table1[[#This Row],[Revenue]] *100</f>
        <v>26.666666666666668</v>
      </c>
    </row>
    <row r="390" spans="1:8" x14ac:dyDescent="0.2">
      <c r="A390" t="s">
        <v>13</v>
      </c>
      <c r="B390" t="s">
        <v>17</v>
      </c>
      <c r="C390">
        <v>842</v>
      </c>
      <c r="D390" s="8">
        <v>12630000</v>
      </c>
      <c r="E390">
        <v>9262000</v>
      </c>
      <c r="F390">
        <v>3368000</v>
      </c>
      <c r="G390" s="1">
        <v>45523</v>
      </c>
      <c r="H390" s="7">
        <f>Table1[[#This Row],[Profit]]/Table1[[#This Row],[Revenue]] *100</f>
        <v>26.666666666666668</v>
      </c>
    </row>
    <row r="391" spans="1:8" x14ac:dyDescent="0.2">
      <c r="A391" t="s">
        <v>7</v>
      </c>
      <c r="B391" t="s">
        <v>12</v>
      </c>
      <c r="C391">
        <v>841</v>
      </c>
      <c r="D391" s="8">
        <v>1009200</v>
      </c>
      <c r="E391">
        <v>714850</v>
      </c>
      <c r="F391">
        <v>294350</v>
      </c>
      <c r="G391" s="1">
        <v>45657</v>
      </c>
      <c r="H391" s="7">
        <f>Table1[[#This Row],[Profit]]/Table1[[#This Row],[Revenue]] *100</f>
        <v>29.166666666666668</v>
      </c>
    </row>
    <row r="392" spans="1:8" x14ac:dyDescent="0.2">
      <c r="A392" t="s">
        <v>22</v>
      </c>
      <c r="B392" t="s">
        <v>12</v>
      </c>
      <c r="C392">
        <v>1859</v>
      </c>
      <c r="D392" s="8">
        <v>2230800</v>
      </c>
      <c r="E392">
        <v>1580150</v>
      </c>
      <c r="F392">
        <v>650650</v>
      </c>
      <c r="G392" s="1">
        <v>45727</v>
      </c>
      <c r="H392" s="7">
        <f>Table1[[#This Row],[Profit]]/Table1[[#This Row],[Revenue]] *100</f>
        <v>29.166666666666668</v>
      </c>
    </row>
    <row r="393" spans="1:8" x14ac:dyDescent="0.2">
      <c r="A393" t="s">
        <v>13</v>
      </c>
      <c r="B393" t="s">
        <v>14</v>
      </c>
      <c r="C393">
        <v>1344</v>
      </c>
      <c r="D393" s="8">
        <v>1612800</v>
      </c>
      <c r="E393">
        <v>1075200</v>
      </c>
      <c r="F393">
        <v>537600</v>
      </c>
      <c r="G393" s="1">
        <v>45690</v>
      </c>
      <c r="H393" s="7">
        <f>Table1[[#This Row],[Profit]]/Table1[[#This Row],[Revenue]] *100</f>
        <v>33.333333333333329</v>
      </c>
    </row>
    <row r="394" spans="1:8" x14ac:dyDescent="0.2">
      <c r="A394" t="s">
        <v>21</v>
      </c>
      <c r="B394" t="s">
        <v>17</v>
      </c>
      <c r="C394">
        <v>2589</v>
      </c>
      <c r="D394" s="8">
        <v>38835000</v>
      </c>
      <c r="E394">
        <v>28479000</v>
      </c>
      <c r="F394">
        <v>10356000</v>
      </c>
      <c r="G394" s="1">
        <v>45790</v>
      </c>
      <c r="H394" s="7">
        <f>Table1[[#This Row],[Profit]]/Table1[[#This Row],[Revenue]] *100</f>
        <v>26.666666666666668</v>
      </c>
    </row>
    <row r="395" spans="1:8" x14ac:dyDescent="0.2">
      <c r="A395" t="s">
        <v>15</v>
      </c>
      <c r="B395" t="s">
        <v>17</v>
      </c>
      <c r="C395">
        <v>2305</v>
      </c>
      <c r="D395" s="8">
        <v>34575000</v>
      </c>
      <c r="E395">
        <v>25355000</v>
      </c>
      <c r="F395">
        <v>9220000</v>
      </c>
      <c r="G395" s="1">
        <v>45831</v>
      </c>
      <c r="H395" s="7">
        <f>Table1[[#This Row],[Profit]]/Table1[[#This Row],[Revenue]] *100</f>
        <v>26.666666666666668</v>
      </c>
    </row>
    <row r="396" spans="1:8" x14ac:dyDescent="0.2">
      <c r="A396" t="s">
        <v>15</v>
      </c>
      <c r="B396" t="s">
        <v>23</v>
      </c>
      <c r="C396">
        <v>1657</v>
      </c>
      <c r="D396" s="8">
        <v>8285000</v>
      </c>
      <c r="E396">
        <v>6959400</v>
      </c>
      <c r="F396">
        <v>1325600</v>
      </c>
      <c r="G396" s="1">
        <v>45854</v>
      </c>
      <c r="H396" s="7">
        <f>Table1[[#This Row],[Profit]]/Table1[[#This Row],[Revenue]] *100</f>
        <v>16</v>
      </c>
    </row>
    <row r="397" spans="1:8" x14ac:dyDescent="0.2">
      <c r="A397" t="s">
        <v>21</v>
      </c>
      <c r="B397" t="s">
        <v>12</v>
      </c>
      <c r="C397">
        <v>1133</v>
      </c>
      <c r="D397" s="8">
        <v>1359600</v>
      </c>
      <c r="E397">
        <v>963050</v>
      </c>
      <c r="F397">
        <v>396550</v>
      </c>
      <c r="G397" s="1">
        <v>45733</v>
      </c>
      <c r="H397" s="7">
        <f>Table1[[#This Row],[Profit]]/Table1[[#This Row],[Revenue]] *100</f>
        <v>29.166666666666668</v>
      </c>
    </row>
    <row r="398" spans="1:8" x14ac:dyDescent="0.2">
      <c r="A398" t="s">
        <v>20</v>
      </c>
      <c r="B398" t="s">
        <v>17</v>
      </c>
      <c r="C398">
        <v>2527</v>
      </c>
      <c r="D398" s="8">
        <v>37905000</v>
      </c>
      <c r="E398">
        <v>27797000</v>
      </c>
      <c r="F398">
        <v>10108000</v>
      </c>
      <c r="G398" s="1">
        <v>46064</v>
      </c>
      <c r="H398" s="7">
        <f>Table1[[#This Row],[Profit]]/Table1[[#This Row],[Revenue]] *100</f>
        <v>26.666666666666668</v>
      </c>
    </row>
    <row r="399" spans="1:8" x14ac:dyDescent="0.2">
      <c r="A399" t="s">
        <v>18</v>
      </c>
      <c r="B399" t="s">
        <v>10</v>
      </c>
      <c r="C399">
        <v>1034</v>
      </c>
      <c r="D399" s="8">
        <v>3619000</v>
      </c>
      <c r="E399">
        <v>2688400</v>
      </c>
      <c r="F399">
        <v>930600</v>
      </c>
      <c r="G399" s="1">
        <v>45641</v>
      </c>
      <c r="H399" s="7">
        <f>Table1[[#This Row],[Profit]]/Table1[[#This Row],[Revenue]] *100</f>
        <v>25.714285714285712</v>
      </c>
    </row>
    <row r="400" spans="1:8" x14ac:dyDescent="0.2">
      <c r="A400" t="s">
        <v>22</v>
      </c>
      <c r="B400" t="s">
        <v>14</v>
      </c>
      <c r="C400">
        <v>1730</v>
      </c>
      <c r="D400" s="8">
        <v>2076000</v>
      </c>
      <c r="E400">
        <v>1384000</v>
      </c>
      <c r="F400">
        <v>692000</v>
      </c>
      <c r="G400" s="1">
        <v>45811</v>
      </c>
      <c r="H400" s="7">
        <f>Table1[[#This Row],[Profit]]/Table1[[#This Row],[Revenue]] *100</f>
        <v>33.333333333333329</v>
      </c>
    </row>
    <row r="401" spans="1:8" x14ac:dyDescent="0.2">
      <c r="A401" t="s">
        <v>11</v>
      </c>
      <c r="B401" t="s">
        <v>10</v>
      </c>
      <c r="C401">
        <v>569</v>
      </c>
      <c r="D401" s="8">
        <v>1991500</v>
      </c>
      <c r="E401">
        <v>1479400</v>
      </c>
      <c r="F401">
        <v>512100</v>
      </c>
      <c r="G401" s="1">
        <v>45429</v>
      </c>
      <c r="H401" s="7">
        <f>Table1[[#This Row],[Profit]]/Table1[[#This Row],[Revenue]] *100</f>
        <v>25.714285714285712</v>
      </c>
    </row>
    <row r="402" spans="1:8" x14ac:dyDescent="0.2">
      <c r="A402" t="s">
        <v>13</v>
      </c>
      <c r="B402" t="s">
        <v>10</v>
      </c>
      <c r="C402">
        <v>640</v>
      </c>
      <c r="D402" s="8">
        <v>2240000</v>
      </c>
      <c r="E402">
        <v>1664000</v>
      </c>
      <c r="F402">
        <v>576000</v>
      </c>
      <c r="G402" s="1">
        <v>46283</v>
      </c>
      <c r="H402" s="7">
        <f>Table1[[#This Row],[Profit]]/Table1[[#This Row],[Revenue]] *100</f>
        <v>25.714285714285712</v>
      </c>
    </row>
    <row r="403" spans="1:8" x14ac:dyDescent="0.2">
      <c r="A403" t="s">
        <v>21</v>
      </c>
      <c r="B403" t="s">
        <v>8</v>
      </c>
      <c r="C403">
        <v>1100</v>
      </c>
      <c r="D403" s="8">
        <v>3300000</v>
      </c>
      <c r="E403">
        <v>1980000</v>
      </c>
      <c r="F403">
        <v>1320000</v>
      </c>
      <c r="G403" s="1">
        <v>45659</v>
      </c>
      <c r="H403" s="7">
        <f>Table1[[#This Row],[Profit]]/Table1[[#This Row],[Revenue]] *100</f>
        <v>40</v>
      </c>
    </row>
    <row r="404" spans="1:8" x14ac:dyDescent="0.2">
      <c r="A404" t="s">
        <v>7</v>
      </c>
      <c r="B404" t="s">
        <v>8</v>
      </c>
      <c r="C404">
        <v>1759</v>
      </c>
      <c r="D404" s="8">
        <v>5277000</v>
      </c>
      <c r="E404">
        <v>3166200</v>
      </c>
      <c r="F404">
        <v>2110800</v>
      </c>
      <c r="G404" s="1">
        <v>45651</v>
      </c>
      <c r="H404" s="7">
        <f>Table1[[#This Row],[Profit]]/Table1[[#This Row],[Revenue]] *100</f>
        <v>40</v>
      </c>
    </row>
    <row r="405" spans="1:8" x14ac:dyDescent="0.2">
      <c r="A405" t="s">
        <v>13</v>
      </c>
      <c r="B405" t="s">
        <v>14</v>
      </c>
      <c r="C405">
        <v>2085</v>
      </c>
      <c r="D405" s="8">
        <v>2502000</v>
      </c>
      <c r="E405">
        <v>1668000</v>
      </c>
      <c r="F405">
        <v>834000</v>
      </c>
      <c r="G405" s="1">
        <v>46212</v>
      </c>
      <c r="H405" s="7">
        <f>Table1[[#This Row],[Profit]]/Table1[[#This Row],[Revenue]] *100</f>
        <v>33.333333333333329</v>
      </c>
    </row>
    <row r="406" spans="1:8" x14ac:dyDescent="0.2">
      <c r="A406" t="s">
        <v>18</v>
      </c>
      <c r="B406" t="s">
        <v>10</v>
      </c>
      <c r="C406">
        <v>2296</v>
      </c>
      <c r="D406" s="8">
        <v>8036000</v>
      </c>
      <c r="E406">
        <v>5969600</v>
      </c>
      <c r="F406">
        <v>2066400</v>
      </c>
      <c r="G406" s="1">
        <v>45620</v>
      </c>
      <c r="H406" s="7">
        <f>Table1[[#This Row],[Profit]]/Table1[[#This Row],[Revenue]] *100</f>
        <v>25.714285714285712</v>
      </c>
    </row>
    <row r="407" spans="1:8" x14ac:dyDescent="0.2">
      <c r="A407" t="s">
        <v>7</v>
      </c>
      <c r="B407" t="s">
        <v>17</v>
      </c>
      <c r="C407">
        <v>2484</v>
      </c>
      <c r="D407" s="8">
        <v>37260000</v>
      </c>
      <c r="E407">
        <v>27324000</v>
      </c>
      <c r="F407">
        <v>9936000</v>
      </c>
      <c r="G407" s="1">
        <v>46253</v>
      </c>
      <c r="H407" s="7">
        <f>Table1[[#This Row],[Profit]]/Table1[[#This Row],[Revenue]] *100</f>
        <v>26.666666666666668</v>
      </c>
    </row>
    <row r="408" spans="1:8" x14ac:dyDescent="0.2">
      <c r="A408" t="s">
        <v>16</v>
      </c>
      <c r="B408" t="s">
        <v>12</v>
      </c>
      <c r="C408">
        <v>398</v>
      </c>
      <c r="D408" s="8">
        <v>477600</v>
      </c>
      <c r="E408">
        <v>338300</v>
      </c>
      <c r="F408">
        <v>139300</v>
      </c>
      <c r="G408" s="1">
        <v>45754</v>
      </c>
      <c r="H408" s="7">
        <f>Table1[[#This Row],[Profit]]/Table1[[#This Row],[Revenue]] *100</f>
        <v>29.166666666666668</v>
      </c>
    </row>
    <row r="409" spans="1:8" x14ac:dyDescent="0.2">
      <c r="A409" t="s">
        <v>15</v>
      </c>
      <c r="B409" t="s">
        <v>14</v>
      </c>
      <c r="C409">
        <v>1009</v>
      </c>
      <c r="D409" s="8">
        <v>1210800</v>
      </c>
      <c r="E409">
        <v>807200</v>
      </c>
      <c r="F409">
        <v>403600</v>
      </c>
      <c r="G409" s="1">
        <v>46237</v>
      </c>
      <c r="H409" s="7">
        <f>Table1[[#This Row],[Profit]]/Table1[[#This Row],[Revenue]] *100</f>
        <v>33.333333333333329</v>
      </c>
    </row>
    <row r="410" spans="1:8" x14ac:dyDescent="0.2">
      <c r="A410" t="s">
        <v>16</v>
      </c>
      <c r="B410" t="s">
        <v>23</v>
      </c>
      <c r="C410">
        <v>2013</v>
      </c>
      <c r="D410" s="8">
        <v>10065000</v>
      </c>
      <c r="E410">
        <v>8454600</v>
      </c>
      <c r="F410">
        <v>1610400</v>
      </c>
      <c r="G410" s="1">
        <v>46254</v>
      </c>
      <c r="H410" s="7">
        <f>Table1[[#This Row],[Profit]]/Table1[[#This Row],[Revenue]] *100</f>
        <v>16</v>
      </c>
    </row>
    <row r="411" spans="1:8" x14ac:dyDescent="0.2">
      <c r="A411" t="s">
        <v>13</v>
      </c>
      <c r="B411" t="s">
        <v>10</v>
      </c>
      <c r="C411">
        <v>742</v>
      </c>
      <c r="D411" s="8">
        <v>2597000</v>
      </c>
      <c r="E411">
        <v>1929200</v>
      </c>
      <c r="F411">
        <v>667800</v>
      </c>
      <c r="G411" s="1">
        <v>46127</v>
      </c>
      <c r="H411" s="7">
        <f>Table1[[#This Row],[Profit]]/Table1[[#This Row],[Revenue]] *100</f>
        <v>25.714285714285712</v>
      </c>
    </row>
    <row r="412" spans="1:8" x14ac:dyDescent="0.2">
      <c r="A412" t="s">
        <v>18</v>
      </c>
      <c r="B412" t="s">
        <v>14</v>
      </c>
      <c r="C412">
        <v>1609</v>
      </c>
      <c r="D412" s="8">
        <v>1930800</v>
      </c>
      <c r="E412">
        <v>1287200</v>
      </c>
      <c r="F412">
        <v>643600</v>
      </c>
      <c r="G412" s="1">
        <v>45460</v>
      </c>
      <c r="H412" s="7">
        <f>Table1[[#This Row],[Profit]]/Table1[[#This Row],[Revenue]] *100</f>
        <v>33.333333333333329</v>
      </c>
    </row>
    <row r="413" spans="1:8" x14ac:dyDescent="0.2">
      <c r="A413" t="s">
        <v>22</v>
      </c>
      <c r="B413" t="s">
        <v>19</v>
      </c>
      <c r="C413">
        <v>427</v>
      </c>
      <c r="D413" s="8">
        <v>19215000</v>
      </c>
      <c r="E413">
        <v>16226000</v>
      </c>
      <c r="F413">
        <v>2989000</v>
      </c>
      <c r="G413" s="1">
        <v>45508</v>
      </c>
      <c r="H413" s="7">
        <f>Table1[[#This Row],[Profit]]/Table1[[#This Row],[Revenue]] *100</f>
        <v>15.555555555555555</v>
      </c>
    </row>
    <row r="414" spans="1:8" x14ac:dyDescent="0.2">
      <c r="A414" t="s">
        <v>13</v>
      </c>
      <c r="B414" t="s">
        <v>19</v>
      </c>
      <c r="C414">
        <v>2996</v>
      </c>
      <c r="D414" s="8">
        <v>134820000</v>
      </c>
      <c r="E414">
        <v>113848000</v>
      </c>
      <c r="F414">
        <v>20972000</v>
      </c>
      <c r="G414" s="1">
        <v>45669</v>
      </c>
      <c r="H414" s="7">
        <f>Table1[[#This Row],[Profit]]/Table1[[#This Row],[Revenue]] *100</f>
        <v>15.555555555555555</v>
      </c>
    </row>
    <row r="415" spans="1:8" x14ac:dyDescent="0.2">
      <c r="A415" t="s">
        <v>21</v>
      </c>
      <c r="B415" t="s">
        <v>8</v>
      </c>
      <c r="C415">
        <v>576</v>
      </c>
      <c r="D415" s="8">
        <v>1728000</v>
      </c>
      <c r="E415">
        <v>1036800</v>
      </c>
      <c r="F415">
        <v>691200</v>
      </c>
      <c r="G415" s="1">
        <v>45410</v>
      </c>
      <c r="H415" s="7">
        <f>Table1[[#This Row],[Profit]]/Table1[[#This Row],[Revenue]] *100</f>
        <v>40</v>
      </c>
    </row>
    <row r="416" spans="1:8" x14ac:dyDescent="0.2">
      <c r="A416" t="s">
        <v>9</v>
      </c>
      <c r="B416" t="s">
        <v>12</v>
      </c>
      <c r="C416">
        <v>2831</v>
      </c>
      <c r="D416" s="8">
        <v>3397200</v>
      </c>
      <c r="E416">
        <v>2406350</v>
      </c>
      <c r="F416">
        <v>990850</v>
      </c>
      <c r="G416" s="1">
        <v>45481</v>
      </c>
      <c r="H416" s="7">
        <f>Table1[[#This Row],[Profit]]/Table1[[#This Row],[Revenue]] *100</f>
        <v>29.166666666666668</v>
      </c>
    </row>
    <row r="417" spans="1:8" x14ac:dyDescent="0.2">
      <c r="A417" t="s">
        <v>13</v>
      </c>
      <c r="B417" t="s">
        <v>17</v>
      </c>
      <c r="C417">
        <v>2303</v>
      </c>
      <c r="D417" s="8">
        <v>34545000</v>
      </c>
      <c r="E417">
        <v>25333000</v>
      </c>
      <c r="F417">
        <v>9212000</v>
      </c>
      <c r="G417" s="1">
        <v>46058</v>
      </c>
      <c r="H417" s="7">
        <f>Table1[[#This Row],[Profit]]/Table1[[#This Row],[Revenue]] *100</f>
        <v>26.666666666666668</v>
      </c>
    </row>
    <row r="418" spans="1:8" x14ac:dyDescent="0.2">
      <c r="A418" t="s">
        <v>15</v>
      </c>
      <c r="B418" t="s">
        <v>12</v>
      </c>
      <c r="C418">
        <v>2552</v>
      </c>
      <c r="D418" s="8">
        <v>3062400</v>
      </c>
      <c r="E418">
        <v>2169200</v>
      </c>
      <c r="F418">
        <v>893200</v>
      </c>
      <c r="G418" s="1">
        <v>45661</v>
      </c>
      <c r="H418" s="7">
        <f>Table1[[#This Row],[Profit]]/Table1[[#This Row],[Revenue]] *100</f>
        <v>29.166666666666668</v>
      </c>
    </row>
    <row r="419" spans="1:8" x14ac:dyDescent="0.2">
      <c r="A419" t="s">
        <v>15</v>
      </c>
      <c r="B419" t="s">
        <v>12</v>
      </c>
      <c r="C419">
        <v>1309</v>
      </c>
      <c r="D419" s="8">
        <v>1570800</v>
      </c>
      <c r="E419">
        <v>1112650</v>
      </c>
      <c r="F419">
        <v>458150</v>
      </c>
      <c r="G419" s="1">
        <v>45440</v>
      </c>
      <c r="H419" s="7">
        <f>Table1[[#This Row],[Profit]]/Table1[[#This Row],[Revenue]] *100</f>
        <v>29.166666666666668</v>
      </c>
    </row>
    <row r="420" spans="1:8" x14ac:dyDescent="0.2">
      <c r="A420" t="s">
        <v>13</v>
      </c>
      <c r="B420" t="s">
        <v>12</v>
      </c>
      <c r="C420">
        <v>1925</v>
      </c>
      <c r="D420" s="8">
        <v>2310000</v>
      </c>
      <c r="E420">
        <v>1636250</v>
      </c>
      <c r="F420">
        <v>673750</v>
      </c>
      <c r="G420" s="1">
        <v>45943</v>
      </c>
      <c r="H420" s="7">
        <f>Table1[[#This Row],[Profit]]/Table1[[#This Row],[Revenue]] *100</f>
        <v>29.166666666666668</v>
      </c>
    </row>
    <row r="421" spans="1:8" x14ac:dyDescent="0.2">
      <c r="A421" t="s">
        <v>7</v>
      </c>
      <c r="B421" t="s">
        <v>12</v>
      </c>
      <c r="C421">
        <v>1813</v>
      </c>
      <c r="D421" s="8">
        <v>2175600</v>
      </c>
      <c r="E421">
        <v>1541050</v>
      </c>
      <c r="F421">
        <v>634550</v>
      </c>
      <c r="G421" s="1">
        <v>46061</v>
      </c>
      <c r="H421" s="7">
        <f>Table1[[#This Row],[Profit]]/Table1[[#This Row],[Revenue]] *100</f>
        <v>29.166666666666668</v>
      </c>
    </row>
    <row r="422" spans="1:8" x14ac:dyDescent="0.2">
      <c r="A422" t="s">
        <v>9</v>
      </c>
      <c r="B422" t="s">
        <v>23</v>
      </c>
      <c r="C422">
        <v>570</v>
      </c>
      <c r="D422" s="8">
        <v>2850000</v>
      </c>
      <c r="E422">
        <v>2394000</v>
      </c>
      <c r="F422">
        <v>456000</v>
      </c>
      <c r="G422" s="1">
        <v>45665</v>
      </c>
      <c r="H422" s="7">
        <f>Table1[[#This Row],[Profit]]/Table1[[#This Row],[Revenue]] *100</f>
        <v>16</v>
      </c>
    </row>
    <row r="423" spans="1:8" x14ac:dyDescent="0.2">
      <c r="A423" t="s">
        <v>21</v>
      </c>
      <c r="B423" t="s">
        <v>23</v>
      </c>
      <c r="C423">
        <v>1751</v>
      </c>
      <c r="D423" s="8">
        <v>8755000</v>
      </c>
      <c r="E423">
        <v>7354200</v>
      </c>
      <c r="F423">
        <v>1400800</v>
      </c>
      <c r="G423" s="1">
        <v>46072</v>
      </c>
      <c r="H423" s="7">
        <f>Table1[[#This Row],[Profit]]/Table1[[#This Row],[Revenue]] *100</f>
        <v>16</v>
      </c>
    </row>
    <row r="424" spans="1:8" x14ac:dyDescent="0.2">
      <c r="A424" t="s">
        <v>13</v>
      </c>
      <c r="B424" t="s">
        <v>8</v>
      </c>
      <c r="C424">
        <v>1066</v>
      </c>
      <c r="D424" s="8">
        <v>3198000</v>
      </c>
      <c r="E424">
        <v>1918800</v>
      </c>
      <c r="F424">
        <v>1279200</v>
      </c>
      <c r="G424" s="1">
        <v>45451</v>
      </c>
      <c r="H424" s="7">
        <f>Table1[[#This Row],[Profit]]/Table1[[#This Row],[Revenue]] *100</f>
        <v>40</v>
      </c>
    </row>
    <row r="425" spans="1:8" x14ac:dyDescent="0.2">
      <c r="A425" t="s">
        <v>7</v>
      </c>
      <c r="B425" t="s">
        <v>14</v>
      </c>
      <c r="C425">
        <v>2823</v>
      </c>
      <c r="D425" s="8">
        <v>3387600</v>
      </c>
      <c r="E425">
        <v>2258400</v>
      </c>
      <c r="F425">
        <v>1129200</v>
      </c>
      <c r="G425" s="1">
        <v>45642</v>
      </c>
      <c r="H425" s="7">
        <f>Table1[[#This Row],[Profit]]/Table1[[#This Row],[Revenue]] *100</f>
        <v>33.333333333333329</v>
      </c>
    </row>
    <row r="426" spans="1:8" x14ac:dyDescent="0.2">
      <c r="A426" t="s">
        <v>15</v>
      </c>
      <c r="B426" t="s">
        <v>19</v>
      </c>
      <c r="C426">
        <v>1063</v>
      </c>
      <c r="D426" s="8">
        <v>47835000</v>
      </c>
      <c r="E426">
        <v>40394000</v>
      </c>
      <c r="F426">
        <v>7441000</v>
      </c>
      <c r="G426" s="1">
        <v>46183</v>
      </c>
      <c r="H426" s="7">
        <f>Table1[[#This Row],[Profit]]/Table1[[#This Row],[Revenue]] *100</f>
        <v>15.555555555555555</v>
      </c>
    </row>
    <row r="427" spans="1:8" x14ac:dyDescent="0.2">
      <c r="A427" t="s">
        <v>15</v>
      </c>
      <c r="B427" t="s">
        <v>12</v>
      </c>
      <c r="C427">
        <v>2598</v>
      </c>
      <c r="D427" s="8">
        <v>3117600</v>
      </c>
      <c r="E427">
        <v>2208300</v>
      </c>
      <c r="F427">
        <v>909300</v>
      </c>
      <c r="G427" s="1">
        <v>45814</v>
      </c>
      <c r="H427" s="7">
        <f>Table1[[#This Row],[Profit]]/Table1[[#This Row],[Revenue]] *100</f>
        <v>29.166666666666668</v>
      </c>
    </row>
    <row r="428" spans="1:8" x14ac:dyDescent="0.2">
      <c r="A428" t="s">
        <v>18</v>
      </c>
      <c r="B428" t="s">
        <v>8</v>
      </c>
      <c r="C428">
        <v>166</v>
      </c>
      <c r="D428" s="8">
        <v>498000</v>
      </c>
      <c r="E428">
        <v>298800</v>
      </c>
      <c r="F428">
        <v>199200</v>
      </c>
      <c r="G428" s="1">
        <v>45813</v>
      </c>
      <c r="H428" s="7">
        <f>Table1[[#This Row],[Profit]]/Table1[[#This Row],[Revenue]] *100</f>
        <v>40</v>
      </c>
    </row>
    <row r="429" spans="1:8" x14ac:dyDescent="0.2">
      <c r="A429" t="s">
        <v>13</v>
      </c>
      <c r="B429" t="s">
        <v>14</v>
      </c>
      <c r="C429">
        <v>2483</v>
      </c>
      <c r="D429" s="8">
        <v>2979600</v>
      </c>
      <c r="E429">
        <v>1986400</v>
      </c>
      <c r="F429">
        <v>993200</v>
      </c>
      <c r="G429" s="1">
        <v>46074</v>
      </c>
      <c r="H429" s="7">
        <f>Table1[[#This Row],[Profit]]/Table1[[#This Row],[Revenue]] *100</f>
        <v>33.333333333333329</v>
      </c>
    </row>
    <row r="430" spans="1:8" x14ac:dyDescent="0.2">
      <c r="A430" t="s">
        <v>9</v>
      </c>
      <c r="B430" t="s">
        <v>19</v>
      </c>
      <c r="C430">
        <v>1417</v>
      </c>
      <c r="D430" s="8">
        <v>63765000</v>
      </c>
      <c r="E430">
        <v>53846000</v>
      </c>
      <c r="F430">
        <v>9919000</v>
      </c>
      <c r="G430" s="1">
        <v>45564</v>
      </c>
      <c r="H430" s="7">
        <f>Table1[[#This Row],[Profit]]/Table1[[#This Row],[Revenue]] *100</f>
        <v>15.555555555555555</v>
      </c>
    </row>
    <row r="431" spans="1:8" x14ac:dyDescent="0.2">
      <c r="A431" t="s">
        <v>20</v>
      </c>
      <c r="B431" t="s">
        <v>10</v>
      </c>
      <c r="C431">
        <v>633</v>
      </c>
      <c r="D431" s="8">
        <v>2215500</v>
      </c>
      <c r="E431">
        <v>1645800</v>
      </c>
      <c r="F431">
        <v>569700</v>
      </c>
      <c r="G431" s="1">
        <v>46227</v>
      </c>
      <c r="H431" s="7">
        <f>Table1[[#This Row],[Profit]]/Table1[[#This Row],[Revenue]] *100</f>
        <v>25.714285714285712</v>
      </c>
    </row>
    <row r="432" spans="1:8" x14ac:dyDescent="0.2">
      <c r="A432" t="s">
        <v>9</v>
      </c>
      <c r="B432" t="s">
        <v>17</v>
      </c>
      <c r="C432">
        <v>444</v>
      </c>
      <c r="D432" s="8">
        <v>6660000</v>
      </c>
      <c r="E432">
        <v>4884000</v>
      </c>
      <c r="F432">
        <v>1776000</v>
      </c>
      <c r="G432" s="1">
        <v>45474</v>
      </c>
      <c r="H432" s="7">
        <f>Table1[[#This Row],[Profit]]/Table1[[#This Row],[Revenue]] *100</f>
        <v>26.666666666666668</v>
      </c>
    </row>
    <row r="433" spans="1:8" x14ac:dyDescent="0.2">
      <c r="A433" t="s">
        <v>15</v>
      </c>
      <c r="B433" t="s">
        <v>23</v>
      </c>
      <c r="C433">
        <v>1137</v>
      </c>
      <c r="D433" s="8">
        <v>5685000</v>
      </c>
      <c r="E433">
        <v>4775400</v>
      </c>
      <c r="F433">
        <v>909600</v>
      </c>
      <c r="G433" s="1">
        <v>45779</v>
      </c>
      <c r="H433" s="7">
        <f>Table1[[#This Row],[Profit]]/Table1[[#This Row],[Revenue]] *100</f>
        <v>16</v>
      </c>
    </row>
    <row r="434" spans="1:8" x14ac:dyDescent="0.2">
      <c r="A434" t="s">
        <v>15</v>
      </c>
      <c r="B434" t="s">
        <v>10</v>
      </c>
      <c r="C434">
        <v>2818</v>
      </c>
      <c r="D434" s="8">
        <v>9863000</v>
      </c>
      <c r="E434">
        <v>7326800</v>
      </c>
      <c r="F434">
        <v>2536200</v>
      </c>
      <c r="G434" s="1">
        <v>46137</v>
      </c>
      <c r="H434" s="7">
        <f>Table1[[#This Row],[Profit]]/Table1[[#This Row],[Revenue]] *100</f>
        <v>25.714285714285712</v>
      </c>
    </row>
    <row r="435" spans="1:8" x14ac:dyDescent="0.2">
      <c r="A435" t="s">
        <v>16</v>
      </c>
      <c r="B435" t="s">
        <v>19</v>
      </c>
      <c r="C435">
        <v>121</v>
      </c>
      <c r="D435" s="8">
        <v>5445000</v>
      </c>
      <c r="E435">
        <v>4598000</v>
      </c>
      <c r="F435">
        <v>847000</v>
      </c>
      <c r="G435" s="1">
        <v>45415</v>
      </c>
      <c r="H435" s="7">
        <f>Table1[[#This Row],[Profit]]/Table1[[#This Row],[Revenue]] *100</f>
        <v>15.555555555555555</v>
      </c>
    </row>
    <row r="436" spans="1:8" x14ac:dyDescent="0.2">
      <c r="A436" t="s">
        <v>15</v>
      </c>
      <c r="B436" t="s">
        <v>10</v>
      </c>
      <c r="C436">
        <v>323</v>
      </c>
      <c r="D436" s="8">
        <v>1130500</v>
      </c>
      <c r="E436">
        <v>839800</v>
      </c>
      <c r="F436">
        <v>290700</v>
      </c>
      <c r="G436" s="1">
        <v>46276</v>
      </c>
      <c r="H436" s="7">
        <f>Table1[[#This Row],[Profit]]/Table1[[#This Row],[Revenue]] *100</f>
        <v>25.714285714285712</v>
      </c>
    </row>
    <row r="437" spans="1:8" x14ac:dyDescent="0.2">
      <c r="A437" t="s">
        <v>21</v>
      </c>
      <c r="B437" t="s">
        <v>17</v>
      </c>
      <c r="C437">
        <v>2063</v>
      </c>
      <c r="D437" s="8">
        <v>30945000</v>
      </c>
      <c r="E437">
        <v>22693000</v>
      </c>
      <c r="F437">
        <v>8252000</v>
      </c>
      <c r="G437" s="1">
        <v>46081</v>
      </c>
      <c r="H437" s="7">
        <f>Table1[[#This Row],[Profit]]/Table1[[#This Row],[Revenue]] *100</f>
        <v>26.666666666666668</v>
      </c>
    </row>
    <row r="438" spans="1:8" x14ac:dyDescent="0.2">
      <c r="A438" t="s">
        <v>11</v>
      </c>
      <c r="B438" t="s">
        <v>8</v>
      </c>
      <c r="C438">
        <v>1393</v>
      </c>
      <c r="D438" s="8">
        <v>4179000</v>
      </c>
      <c r="E438">
        <v>2507400</v>
      </c>
      <c r="F438">
        <v>1671600</v>
      </c>
      <c r="G438" s="1">
        <v>45705</v>
      </c>
      <c r="H438" s="7">
        <f>Table1[[#This Row],[Profit]]/Table1[[#This Row],[Revenue]] *100</f>
        <v>40</v>
      </c>
    </row>
    <row r="439" spans="1:8" x14ac:dyDescent="0.2">
      <c r="A439" t="s">
        <v>13</v>
      </c>
      <c r="B439" t="s">
        <v>19</v>
      </c>
      <c r="C439">
        <v>387</v>
      </c>
      <c r="D439" s="8">
        <v>17415000</v>
      </c>
      <c r="E439">
        <v>14706000</v>
      </c>
      <c r="F439">
        <v>2709000</v>
      </c>
      <c r="G439" s="1">
        <v>45977</v>
      </c>
      <c r="H439" s="7">
        <f>Table1[[#This Row],[Profit]]/Table1[[#This Row],[Revenue]] *100</f>
        <v>15.555555555555555</v>
      </c>
    </row>
    <row r="440" spans="1:8" x14ac:dyDescent="0.2">
      <c r="A440" t="s">
        <v>9</v>
      </c>
      <c r="B440" t="s">
        <v>10</v>
      </c>
      <c r="C440">
        <v>1439</v>
      </c>
      <c r="D440" s="8">
        <v>5036500</v>
      </c>
      <c r="E440">
        <v>3741400</v>
      </c>
      <c r="F440">
        <v>1295100</v>
      </c>
      <c r="G440" s="1">
        <v>45404</v>
      </c>
      <c r="H440" s="7">
        <f>Table1[[#This Row],[Profit]]/Table1[[#This Row],[Revenue]] *100</f>
        <v>25.714285714285712</v>
      </c>
    </row>
    <row r="441" spans="1:8" x14ac:dyDescent="0.2">
      <c r="A441" t="s">
        <v>11</v>
      </c>
      <c r="B441" t="s">
        <v>23</v>
      </c>
      <c r="C441">
        <v>656</v>
      </c>
      <c r="D441" s="8">
        <v>3280000</v>
      </c>
      <c r="E441">
        <v>2755200</v>
      </c>
      <c r="F441">
        <v>524800</v>
      </c>
      <c r="G441" s="1">
        <v>46179</v>
      </c>
      <c r="H441" s="7">
        <f>Table1[[#This Row],[Profit]]/Table1[[#This Row],[Revenue]] *100</f>
        <v>16</v>
      </c>
    </row>
    <row r="442" spans="1:8" x14ac:dyDescent="0.2">
      <c r="A442" t="s">
        <v>7</v>
      </c>
      <c r="B442" t="s">
        <v>23</v>
      </c>
      <c r="C442">
        <v>215</v>
      </c>
      <c r="D442" s="8">
        <v>1075000</v>
      </c>
      <c r="E442">
        <v>903000</v>
      </c>
      <c r="F442">
        <v>172000</v>
      </c>
      <c r="G442" s="1">
        <v>45413</v>
      </c>
      <c r="H442" s="7">
        <f>Table1[[#This Row],[Profit]]/Table1[[#This Row],[Revenue]] *100</f>
        <v>16</v>
      </c>
    </row>
    <row r="443" spans="1:8" x14ac:dyDescent="0.2">
      <c r="A443" t="s">
        <v>20</v>
      </c>
      <c r="B443" t="s">
        <v>14</v>
      </c>
      <c r="C443">
        <v>1617</v>
      </c>
      <c r="D443" s="8">
        <v>1940400</v>
      </c>
      <c r="E443">
        <v>1293600</v>
      </c>
      <c r="F443">
        <v>646800</v>
      </c>
      <c r="G443" s="1">
        <v>45330</v>
      </c>
      <c r="H443" s="7">
        <f>Table1[[#This Row],[Profit]]/Table1[[#This Row],[Revenue]] *100</f>
        <v>33.333333333333329</v>
      </c>
    </row>
    <row r="444" spans="1:8" x14ac:dyDescent="0.2">
      <c r="A444" t="s">
        <v>21</v>
      </c>
      <c r="B444" t="s">
        <v>10</v>
      </c>
      <c r="C444">
        <v>2108</v>
      </c>
      <c r="D444" s="8">
        <v>7378000</v>
      </c>
      <c r="E444">
        <v>5480800</v>
      </c>
      <c r="F444">
        <v>1897200</v>
      </c>
      <c r="G444" s="1">
        <v>45788</v>
      </c>
      <c r="H444" s="7">
        <f>Table1[[#This Row],[Profit]]/Table1[[#This Row],[Revenue]] *100</f>
        <v>25.714285714285712</v>
      </c>
    </row>
    <row r="445" spans="1:8" x14ac:dyDescent="0.2">
      <c r="A445" t="s">
        <v>9</v>
      </c>
      <c r="B445" t="s">
        <v>12</v>
      </c>
      <c r="C445">
        <v>1374</v>
      </c>
      <c r="D445" s="8">
        <v>1648800</v>
      </c>
      <c r="E445">
        <v>1167900</v>
      </c>
      <c r="F445">
        <v>480900</v>
      </c>
      <c r="G445" s="1">
        <v>46071</v>
      </c>
      <c r="H445" s="7">
        <f>Table1[[#This Row],[Profit]]/Table1[[#This Row],[Revenue]] *100</f>
        <v>29.166666666666668</v>
      </c>
    </row>
    <row r="446" spans="1:8" x14ac:dyDescent="0.2">
      <c r="A446" t="s">
        <v>11</v>
      </c>
      <c r="B446" t="s">
        <v>10</v>
      </c>
      <c r="C446">
        <v>778</v>
      </c>
      <c r="D446" s="8">
        <v>2723000</v>
      </c>
      <c r="E446">
        <v>2022800</v>
      </c>
      <c r="F446">
        <v>700200</v>
      </c>
      <c r="G446" s="1">
        <v>46234</v>
      </c>
      <c r="H446" s="7">
        <f>Table1[[#This Row],[Profit]]/Table1[[#This Row],[Revenue]] *100</f>
        <v>25.714285714285712</v>
      </c>
    </row>
    <row r="447" spans="1:8" x14ac:dyDescent="0.2">
      <c r="A447" t="s">
        <v>20</v>
      </c>
      <c r="B447" t="s">
        <v>8</v>
      </c>
      <c r="C447">
        <v>2898</v>
      </c>
      <c r="D447" s="8">
        <v>8694000</v>
      </c>
      <c r="E447">
        <v>5216400</v>
      </c>
      <c r="F447">
        <v>3477600</v>
      </c>
      <c r="G447" s="1">
        <v>45440</v>
      </c>
      <c r="H447" s="7">
        <f>Table1[[#This Row],[Profit]]/Table1[[#This Row],[Revenue]] *100</f>
        <v>40</v>
      </c>
    </row>
    <row r="448" spans="1:8" x14ac:dyDescent="0.2">
      <c r="A448" t="s">
        <v>16</v>
      </c>
      <c r="B448" t="s">
        <v>19</v>
      </c>
      <c r="C448">
        <v>2093</v>
      </c>
      <c r="D448" s="8">
        <v>94185000</v>
      </c>
      <c r="E448">
        <v>79534000</v>
      </c>
      <c r="F448">
        <v>14651000</v>
      </c>
      <c r="G448" s="1">
        <v>46313</v>
      </c>
      <c r="H448" s="7">
        <f>Table1[[#This Row],[Profit]]/Table1[[#This Row],[Revenue]] *100</f>
        <v>15.555555555555555</v>
      </c>
    </row>
    <row r="449" spans="1:8" x14ac:dyDescent="0.2">
      <c r="A449" t="s">
        <v>21</v>
      </c>
      <c r="B449" t="s">
        <v>19</v>
      </c>
      <c r="C449">
        <v>151</v>
      </c>
      <c r="D449" s="8">
        <v>6795000</v>
      </c>
      <c r="E449">
        <v>5738000</v>
      </c>
      <c r="F449">
        <v>1057000</v>
      </c>
      <c r="G449" s="1">
        <v>45952</v>
      </c>
      <c r="H449" s="7">
        <f>Table1[[#This Row],[Profit]]/Table1[[#This Row],[Revenue]] *100</f>
        <v>15.555555555555555</v>
      </c>
    </row>
    <row r="450" spans="1:8" x14ac:dyDescent="0.2">
      <c r="A450" t="s">
        <v>21</v>
      </c>
      <c r="B450" t="s">
        <v>8</v>
      </c>
      <c r="C450">
        <v>1465</v>
      </c>
      <c r="D450" s="8">
        <v>4395000</v>
      </c>
      <c r="E450">
        <v>2637000</v>
      </c>
      <c r="F450">
        <v>1758000</v>
      </c>
      <c r="G450" s="1">
        <v>45593</v>
      </c>
      <c r="H450" s="7">
        <f>Table1[[#This Row],[Profit]]/Table1[[#This Row],[Revenue]] *100</f>
        <v>40</v>
      </c>
    </row>
    <row r="451" spans="1:8" x14ac:dyDescent="0.2">
      <c r="A451" t="s">
        <v>16</v>
      </c>
      <c r="B451" t="s">
        <v>10</v>
      </c>
      <c r="C451">
        <v>828</v>
      </c>
      <c r="D451" s="8">
        <v>2898000</v>
      </c>
      <c r="E451">
        <v>2152800</v>
      </c>
      <c r="F451">
        <v>745200</v>
      </c>
      <c r="G451" s="1">
        <v>45529</v>
      </c>
      <c r="H451" s="7">
        <f>Table1[[#This Row],[Profit]]/Table1[[#This Row],[Revenue]] *100</f>
        <v>25.714285714285712</v>
      </c>
    </row>
    <row r="452" spans="1:8" x14ac:dyDescent="0.2">
      <c r="A452" t="s">
        <v>13</v>
      </c>
      <c r="B452" t="s">
        <v>8</v>
      </c>
      <c r="C452">
        <v>263</v>
      </c>
      <c r="D452" s="8">
        <v>789000</v>
      </c>
      <c r="E452">
        <v>473400</v>
      </c>
      <c r="F452">
        <v>315600</v>
      </c>
      <c r="G452" s="1">
        <v>45938</v>
      </c>
      <c r="H452" s="7">
        <f>Table1[[#This Row],[Profit]]/Table1[[#This Row],[Revenue]] *100</f>
        <v>40</v>
      </c>
    </row>
    <row r="453" spans="1:8" x14ac:dyDescent="0.2">
      <c r="A453" t="s">
        <v>16</v>
      </c>
      <c r="B453" t="s">
        <v>17</v>
      </c>
      <c r="C453">
        <v>1161</v>
      </c>
      <c r="D453" s="8">
        <v>17415000</v>
      </c>
      <c r="E453">
        <v>12771000</v>
      </c>
      <c r="F453">
        <v>4644000</v>
      </c>
      <c r="G453" s="1">
        <v>45954</v>
      </c>
      <c r="H453" s="7">
        <f>Table1[[#This Row],[Profit]]/Table1[[#This Row],[Revenue]] *100</f>
        <v>26.666666666666668</v>
      </c>
    </row>
    <row r="454" spans="1:8" x14ac:dyDescent="0.2">
      <c r="A454" t="s">
        <v>21</v>
      </c>
      <c r="B454" t="s">
        <v>8</v>
      </c>
      <c r="C454">
        <v>1626</v>
      </c>
      <c r="D454" s="8">
        <v>4878000</v>
      </c>
      <c r="E454">
        <v>2926800</v>
      </c>
      <c r="F454">
        <v>1951200</v>
      </c>
      <c r="G454" s="1">
        <v>45527</v>
      </c>
      <c r="H454" s="7">
        <f>Table1[[#This Row],[Profit]]/Table1[[#This Row],[Revenue]] *100</f>
        <v>40</v>
      </c>
    </row>
    <row r="455" spans="1:8" x14ac:dyDescent="0.2">
      <c r="A455" t="s">
        <v>21</v>
      </c>
      <c r="B455" t="s">
        <v>23</v>
      </c>
      <c r="C455">
        <v>2498</v>
      </c>
      <c r="D455" s="8">
        <v>12490000</v>
      </c>
      <c r="E455">
        <v>10491600</v>
      </c>
      <c r="F455">
        <v>1998400</v>
      </c>
      <c r="G455" s="1">
        <v>45494</v>
      </c>
      <c r="H455" s="7">
        <f>Table1[[#This Row],[Profit]]/Table1[[#This Row],[Revenue]] *100</f>
        <v>16</v>
      </c>
    </row>
    <row r="456" spans="1:8" x14ac:dyDescent="0.2">
      <c r="A456" t="s">
        <v>11</v>
      </c>
      <c r="B456" t="s">
        <v>8</v>
      </c>
      <c r="C456">
        <v>2685</v>
      </c>
      <c r="D456" s="8">
        <v>8055000</v>
      </c>
      <c r="E456">
        <v>4833000</v>
      </c>
      <c r="F456">
        <v>3222000</v>
      </c>
      <c r="G456" s="1">
        <v>45547</v>
      </c>
      <c r="H456" s="7">
        <f>Table1[[#This Row],[Profit]]/Table1[[#This Row],[Revenue]] *100</f>
        <v>40</v>
      </c>
    </row>
    <row r="457" spans="1:8" x14ac:dyDescent="0.2">
      <c r="A457" t="s">
        <v>15</v>
      </c>
      <c r="B457" t="s">
        <v>19</v>
      </c>
      <c r="C457">
        <v>2986</v>
      </c>
      <c r="D457" s="8">
        <v>134370000</v>
      </c>
      <c r="E457">
        <v>113468000</v>
      </c>
      <c r="F457">
        <v>20902000</v>
      </c>
      <c r="G457" s="1">
        <v>45889</v>
      </c>
      <c r="H457" s="7">
        <f>Table1[[#This Row],[Profit]]/Table1[[#This Row],[Revenue]] *100</f>
        <v>15.555555555555555</v>
      </c>
    </row>
    <row r="458" spans="1:8" x14ac:dyDescent="0.2">
      <c r="A458" t="s">
        <v>20</v>
      </c>
      <c r="B458" t="s">
        <v>23</v>
      </c>
      <c r="C458">
        <v>1745</v>
      </c>
      <c r="D458" s="8">
        <v>8725000</v>
      </c>
      <c r="E458">
        <v>7329000</v>
      </c>
      <c r="F458">
        <v>1396000</v>
      </c>
      <c r="G458" s="1">
        <v>45953</v>
      </c>
      <c r="H458" s="7">
        <f>Table1[[#This Row],[Profit]]/Table1[[#This Row],[Revenue]] *100</f>
        <v>16</v>
      </c>
    </row>
    <row r="459" spans="1:8" x14ac:dyDescent="0.2">
      <c r="A459" t="s">
        <v>16</v>
      </c>
      <c r="B459" t="s">
        <v>19</v>
      </c>
      <c r="C459">
        <v>641</v>
      </c>
      <c r="D459" s="8">
        <v>28845000</v>
      </c>
      <c r="E459">
        <v>24358000</v>
      </c>
      <c r="F459">
        <v>4487000</v>
      </c>
      <c r="G459" s="1">
        <v>45526</v>
      </c>
      <c r="H459" s="7">
        <f>Table1[[#This Row],[Profit]]/Table1[[#This Row],[Revenue]] *100</f>
        <v>15.555555555555555</v>
      </c>
    </row>
    <row r="460" spans="1:8" x14ac:dyDescent="0.2">
      <c r="A460" t="s">
        <v>20</v>
      </c>
      <c r="B460" t="s">
        <v>14</v>
      </c>
      <c r="C460">
        <v>1383</v>
      </c>
      <c r="D460" s="8">
        <v>1659600</v>
      </c>
      <c r="E460">
        <v>1106400</v>
      </c>
      <c r="F460">
        <v>553200</v>
      </c>
      <c r="G460" s="1">
        <v>45825</v>
      </c>
      <c r="H460" s="7">
        <f>Table1[[#This Row],[Profit]]/Table1[[#This Row],[Revenue]] *100</f>
        <v>33.333333333333329</v>
      </c>
    </row>
    <row r="461" spans="1:8" x14ac:dyDescent="0.2">
      <c r="A461" t="s">
        <v>16</v>
      </c>
      <c r="B461" t="s">
        <v>12</v>
      </c>
      <c r="C461">
        <v>1159</v>
      </c>
      <c r="D461" s="8">
        <v>1390800</v>
      </c>
      <c r="E461">
        <v>985150</v>
      </c>
      <c r="F461">
        <v>405650</v>
      </c>
      <c r="G461" s="1">
        <v>46151</v>
      </c>
      <c r="H461" s="7">
        <f>Table1[[#This Row],[Profit]]/Table1[[#This Row],[Revenue]] *100</f>
        <v>29.166666666666668</v>
      </c>
    </row>
    <row r="462" spans="1:8" x14ac:dyDescent="0.2">
      <c r="A462" t="s">
        <v>7</v>
      </c>
      <c r="B462" t="s">
        <v>19</v>
      </c>
      <c r="C462">
        <v>2189</v>
      </c>
      <c r="D462" s="8">
        <v>98505000</v>
      </c>
      <c r="E462">
        <v>83182000</v>
      </c>
      <c r="F462">
        <v>15323000</v>
      </c>
      <c r="G462" s="1">
        <v>46061</v>
      </c>
      <c r="H462" s="7">
        <f>Table1[[#This Row],[Profit]]/Table1[[#This Row],[Revenue]] *100</f>
        <v>15.555555555555555</v>
      </c>
    </row>
    <row r="463" spans="1:8" x14ac:dyDescent="0.2">
      <c r="A463" t="s">
        <v>21</v>
      </c>
      <c r="B463" t="s">
        <v>23</v>
      </c>
      <c r="C463">
        <v>2770</v>
      </c>
      <c r="D463" s="8">
        <v>13850000</v>
      </c>
      <c r="E463">
        <v>11634000</v>
      </c>
      <c r="F463">
        <v>2216000</v>
      </c>
      <c r="G463" s="1">
        <v>45832</v>
      </c>
      <c r="H463" s="7">
        <f>Table1[[#This Row],[Profit]]/Table1[[#This Row],[Revenue]] *100</f>
        <v>16</v>
      </c>
    </row>
    <row r="464" spans="1:8" x14ac:dyDescent="0.2">
      <c r="A464" t="s">
        <v>15</v>
      </c>
      <c r="B464" t="s">
        <v>14</v>
      </c>
      <c r="C464">
        <v>763</v>
      </c>
      <c r="D464" s="8">
        <v>915600</v>
      </c>
      <c r="E464">
        <v>610400</v>
      </c>
      <c r="F464">
        <v>305200</v>
      </c>
      <c r="G464" s="1">
        <v>45504</v>
      </c>
      <c r="H464" s="7">
        <f>Table1[[#This Row],[Profit]]/Table1[[#This Row],[Revenue]] *100</f>
        <v>33.333333333333329</v>
      </c>
    </row>
    <row r="465" spans="1:8" x14ac:dyDescent="0.2">
      <c r="A465" t="s">
        <v>11</v>
      </c>
      <c r="B465" t="s">
        <v>19</v>
      </c>
      <c r="C465">
        <v>985</v>
      </c>
      <c r="D465" s="8">
        <v>44325000</v>
      </c>
      <c r="E465">
        <v>37430000</v>
      </c>
      <c r="F465">
        <v>6895000</v>
      </c>
      <c r="G465" s="1">
        <v>45754</v>
      </c>
      <c r="H465" s="7">
        <f>Table1[[#This Row],[Profit]]/Table1[[#This Row],[Revenue]] *100</f>
        <v>15.555555555555555</v>
      </c>
    </row>
    <row r="466" spans="1:8" x14ac:dyDescent="0.2">
      <c r="A466" t="s">
        <v>15</v>
      </c>
      <c r="B466" t="s">
        <v>17</v>
      </c>
      <c r="C466">
        <v>2001</v>
      </c>
      <c r="D466" s="8">
        <v>30015000</v>
      </c>
      <c r="E466">
        <v>22011000</v>
      </c>
      <c r="F466">
        <v>8004000</v>
      </c>
      <c r="G466" s="1">
        <v>45727</v>
      </c>
      <c r="H466" s="7">
        <f>Table1[[#This Row],[Profit]]/Table1[[#This Row],[Revenue]] *100</f>
        <v>26.666666666666668</v>
      </c>
    </row>
    <row r="467" spans="1:8" x14ac:dyDescent="0.2">
      <c r="A467" t="s">
        <v>15</v>
      </c>
      <c r="B467" t="s">
        <v>8</v>
      </c>
      <c r="C467">
        <v>291</v>
      </c>
      <c r="D467" s="8">
        <v>873000</v>
      </c>
      <c r="E467">
        <v>523800</v>
      </c>
      <c r="F467">
        <v>349200</v>
      </c>
      <c r="G467" s="1">
        <v>45574</v>
      </c>
      <c r="H467" s="7">
        <f>Table1[[#This Row],[Profit]]/Table1[[#This Row],[Revenue]] *100</f>
        <v>40</v>
      </c>
    </row>
    <row r="468" spans="1:8" x14ac:dyDescent="0.2">
      <c r="A468" t="s">
        <v>15</v>
      </c>
      <c r="B468" t="s">
        <v>12</v>
      </c>
      <c r="C468">
        <v>2093</v>
      </c>
      <c r="D468" s="8">
        <v>2511600</v>
      </c>
      <c r="E468">
        <v>1779050</v>
      </c>
      <c r="F468">
        <v>732550</v>
      </c>
      <c r="G468" s="1">
        <v>45379</v>
      </c>
      <c r="H468" s="7">
        <f>Table1[[#This Row],[Profit]]/Table1[[#This Row],[Revenue]] *100</f>
        <v>29.166666666666668</v>
      </c>
    </row>
    <row r="469" spans="1:8" x14ac:dyDescent="0.2">
      <c r="A469" t="s">
        <v>20</v>
      </c>
      <c r="B469" t="s">
        <v>19</v>
      </c>
      <c r="C469">
        <v>51</v>
      </c>
      <c r="D469" s="8">
        <v>2295000</v>
      </c>
      <c r="E469">
        <v>1938000</v>
      </c>
      <c r="F469">
        <v>357000</v>
      </c>
      <c r="G469" s="1">
        <v>46359</v>
      </c>
      <c r="H469" s="7">
        <f>Table1[[#This Row],[Profit]]/Table1[[#This Row],[Revenue]] *100</f>
        <v>15.555555555555555</v>
      </c>
    </row>
    <row r="470" spans="1:8" x14ac:dyDescent="0.2">
      <c r="A470" t="s">
        <v>16</v>
      </c>
      <c r="B470" t="s">
        <v>14</v>
      </c>
      <c r="C470">
        <v>2322</v>
      </c>
      <c r="D470" s="8">
        <v>2786400</v>
      </c>
      <c r="E470">
        <v>1857600</v>
      </c>
      <c r="F470">
        <v>928800</v>
      </c>
      <c r="G470" s="1">
        <v>45752</v>
      </c>
      <c r="H470" s="7">
        <f>Table1[[#This Row],[Profit]]/Table1[[#This Row],[Revenue]] *100</f>
        <v>33.333333333333329</v>
      </c>
    </row>
    <row r="471" spans="1:8" x14ac:dyDescent="0.2">
      <c r="A471" t="s">
        <v>22</v>
      </c>
      <c r="B471" t="s">
        <v>17</v>
      </c>
      <c r="C471">
        <v>2898</v>
      </c>
      <c r="D471" s="8">
        <v>43470000</v>
      </c>
      <c r="E471">
        <v>31878000</v>
      </c>
      <c r="F471">
        <v>11592000</v>
      </c>
      <c r="G471" s="1">
        <v>45569</v>
      </c>
      <c r="H471" s="7">
        <f>Table1[[#This Row],[Profit]]/Table1[[#This Row],[Revenue]] *100</f>
        <v>26.666666666666668</v>
      </c>
    </row>
    <row r="472" spans="1:8" x14ac:dyDescent="0.2">
      <c r="A472" t="s">
        <v>7</v>
      </c>
      <c r="B472" t="s">
        <v>10</v>
      </c>
      <c r="C472">
        <v>1818</v>
      </c>
      <c r="D472" s="8">
        <v>6363000</v>
      </c>
      <c r="E472">
        <v>4726800</v>
      </c>
      <c r="F472">
        <v>1636200</v>
      </c>
      <c r="G472" s="1">
        <v>45712</v>
      </c>
      <c r="H472" s="7">
        <f>Table1[[#This Row],[Profit]]/Table1[[#This Row],[Revenue]] *100</f>
        <v>25.714285714285712</v>
      </c>
    </row>
    <row r="473" spans="1:8" x14ac:dyDescent="0.2">
      <c r="A473" t="s">
        <v>9</v>
      </c>
      <c r="B473" t="s">
        <v>14</v>
      </c>
      <c r="C473">
        <v>1999</v>
      </c>
      <c r="D473" s="8">
        <v>2398800</v>
      </c>
      <c r="E473">
        <v>1599200</v>
      </c>
      <c r="F473">
        <v>799600</v>
      </c>
      <c r="G473" s="1">
        <v>45987</v>
      </c>
      <c r="H473" s="7">
        <f>Table1[[#This Row],[Profit]]/Table1[[#This Row],[Revenue]] *100</f>
        <v>33.333333333333329</v>
      </c>
    </row>
    <row r="474" spans="1:8" x14ac:dyDescent="0.2">
      <c r="A474" t="s">
        <v>15</v>
      </c>
      <c r="B474" t="s">
        <v>8</v>
      </c>
      <c r="C474">
        <v>2686</v>
      </c>
      <c r="D474" s="8">
        <v>8058000</v>
      </c>
      <c r="E474">
        <v>4834800</v>
      </c>
      <c r="F474">
        <v>3223200</v>
      </c>
      <c r="G474" s="1">
        <v>45806</v>
      </c>
      <c r="H474" s="7">
        <f>Table1[[#This Row],[Profit]]/Table1[[#This Row],[Revenue]] *100</f>
        <v>40</v>
      </c>
    </row>
    <row r="475" spans="1:8" x14ac:dyDescent="0.2">
      <c r="A475" t="s">
        <v>13</v>
      </c>
      <c r="B475" t="s">
        <v>14</v>
      </c>
      <c r="C475">
        <v>2213</v>
      </c>
      <c r="D475" s="8">
        <v>2655600</v>
      </c>
      <c r="E475">
        <v>1770400</v>
      </c>
      <c r="F475">
        <v>885200</v>
      </c>
      <c r="G475" s="1">
        <v>45994</v>
      </c>
      <c r="H475" s="7">
        <f>Table1[[#This Row],[Profit]]/Table1[[#This Row],[Revenue]] *100</f>
        <v>33.333333333333329</v>
      </c>
    </row>
    <row r="476" spans="1:8" x14ac:dyDescent="0.2">
      <c r="A476" t="s">
        <v>20</v>
      </c>
      <c r="B476" t="s">
        <v>17</v>
      </c>
      <c r="C476">
        <v>967</v>
      </c>
      <c r="D476" s="8">
        <v>14505000</v>
      </c>
      <c r="E476">
        <v>10637000</v>
      </c>
      <c r="F476">
        <v>3868000</v>
      </c>
      <c r="G476" s="1">
        <v>45310</v>
      </c>
      <c r="H476" s="7">
        <f>Table1[[#This Row],[Profit]]/Table1[[#This Row],[Revenue]] *100</f>
        <v>26.666666666666668</v>
      </c>
    </row>
    <row r="477" spans="1:8" x14ac:dyDescent="0.2">
      <c r="A477" t="s">
        <v>11</v>
      </c>
      <c r="B477" t="s">
        <v>14</v>
      </c>
      <c r="C477">
        <v>2291</v>
      </c>
      <c r="D477" s="8">
        <v>2749200</v>
      </c>
      <c r="E477">
        <v>1832800</v>
      </c>
      <c r="F477">
        <v>916400</v>
      </c>
      <c r="G477" s="1">
        <v>45314</v>
      </c>
      <c r="H477" s="7">
        <f>Table1[[#This Row],[Profit]]/Table1[[#This Row],[Revenue]] *100</f>
        <v>33.333333333333329</v>
      </c>
    </row>
    <row r="478" spans="1:8" x14ac:dyDescent="0.2">
      <c r="A478" t="s">
        <v>9</v>
      </c>
      <c r="B478" t="s">
        <v>17</v>
      </c>
      <c r="C478">
        <v>2968</v>
      </c>
      <c r="D478" s="8">
        <v>44520000</v>
      </c>
      <c r="E478">
        <v>32648000</v>
      </c>
      <c r="F478">
        <v>11872000</v>
      </c>
      <c r="G478" s="1">
        <v>45704</v>
      </c>
      <c r="H478" s="7">
        <f>Table1[[#This Row],[Profit]]/Table1[[#This Row],[Revenue]] *100</f>
        <v>26.666666666666668</v>
      </c>
    </row>
    <row r="479" spans="1:8" x14ac:dyDescent="0.2">
      <c r="A479" t="s">
        <v>22</v>
      </c>
      <c r="B479" t="s">
        <v>19</v>
      </c>
      <c r="C479">
        <v>139</v>
      </c>
      <c r="D479" s="8">
        <v>6255000</v>
      </c>
      <c r="E479">
        <v>5282000</v>
      </c>
      <c r="F479">
        <v>973000</v>
      </c>
      <c r="G479" s="1">
        <v>46345</v>
      </c>
      <c r="H479" s="7">
        <f>Table1[[#This Row],[Profit]]/Table1[[#This Row],[Revenue]] *100</f>
        <v>15.555555555555555</v>
      </c>
    </row>
    <row r="480" spans="1:8" x14ac:dyDescent="0.2">
      <c r="A480" t="s">
        <v>13</v>
      </c>
      <c r="B480" t="s">
        <v>17</v>
      </c>
      <c r="C480">
        <v>1759</v>
      </c>
      <c r="D480" s="8">
        <v>26385000</v>
      </c>
      <c r="E480">
        <v>19349000</v>
      </c>
      <c r="F480">
        <v>7036000</v>
      </c>
      <c r="G480" s="1">
        <v>45399</v>
      </c>
      <c r="H480" s="7">
        <f>Table1[[#This Row],[Profit]]/Table1[[#This Row],[Revenue]] *100</f>
        <v>26.666666666666668</v>
      </c>
    </row>
    <row r="481" spans="1:8" x14ac:dyDescent="0.2">
      <c r="A481" t="s">
        <v>22</v>
      </c>
      <c r="B481" t="s">
        <v>17</v>
      </c>
      <c r="C481">
        <v>2219</v>
      </c>
      <c r="D481" s="8">
        <v>33285000</v>
      </c>
      <c r="E481">
        <v>24409000</v>
      </c>
      <c r="F481">
        <v>8876000</v>
      </c>
      <c r="G481" s="1">
        <v>45427</v>
      </c>
      <c r="H481" s="7">
        <f>Table1[[#This Row],[Profit]]/Table1[[#This Row],[Revenue]] *100</f>
        <v>26.666666666666668</v>
      </c>
    </row>
    <row r="482" spans="1:8" x14ac:dyDescent="0.2">
      <c r="A482" t="s">
        <v>9</v>
      </c>
      <c r="B482" t="s">
        <v>12</v>
      </c>
      <c r="C482">
        <v>192</v>
      </c>
      <c r="D482" s="8">
        <v>230400</v>
      </c>
      <c r="E482">
        <v>163200</v>
      </c>
      <c r="F482">
        <v>67200</v>
      </c>
      <c r="G482" s="1">
        <v>45653</v>
      </c>
      <c r="H482" s="7">
        <f>Table1[[#This Row],[Profit]]/Table1[[#This Row],[Revenue]] *100</f>
        <v>29.166666666666668</v>
      </c>
    </row>
    <row r="483" spans="1:8" x14ac:dyDescent="0.2">
      <c r="A483" t="s">
        <v>15</v>
      </c>
      <c r="B483" t="s">
        <v>17</v>
      </c>
      <c r="C483">
        <v>155</v>
      </c>
      <c r="D483" s="8">
        <v>2325000</v>
      </c>
      <c r="E483">
        <v>1705000</v>
      </c>
      <c r="F483">
        <v>620000</v>
      </c>
      <c r="G483" s="1">
        <v>45420</v>
      </c>
      <c r="H483" s="7">
        <f>Table1[[#This Row],[Profit]]/Table1[[#This Row],[Revenue]] *100</f>
        <v>26.666666666666668</v>
      </c>
    </row>
    <row r="484" spans="1:8" x14ac:dyDescent="0.2">
      <c r="A484" t="s">
        <v>13</v>
      </c>
      <c r="B484" t="s">
        <v>17</v>
      </c>
      <c r="C484">
        <v>936</v>
      </c>
      <c r="D484" s="8">
        <v>14040000</v>
      </c>
      <c r="E484">
        <v>10296000</v>
      </c>
      <c r="F484">
        <v>3744000</v>
      </c>
      <c r="G484" s="1">
        <v>45806</v>
      </c>
      <c r="H484" s="7">
        <f>Table1[[#This Row],[Profit]]/Table1[[#This Row],[Revenue]] *100</f>
        <v>26.666666666666668</v>
      </c>
    </row>
    <row r="485" spans="1:8" x14ac:dyDescent="0.2">
      <c r="A485" t="s">
        <v>22</v>
      </c>
      <c r="B485" t="s">
        <v>10</v>
      </c>
      <c r="C485">
        <v>477</v>
      </c>
      <c r="D485" s="8">
        <v>1669500</v>
      </c>
      <c r="E485">
        <v>1240200</v>
      </c>
      <c r="F485">
        <v>429300</v>
      </c>
      <c r="G485" s="1">
        <v>45740</v>
      </c>
      <c r="H485" s="7">
        <f>Table1[[#This Row],[Profit]]/Table1[[#This Row],[Revenue]] *100</f>
        <v>25.714285714285712</v>
      </c>
    </row>
    <row r="486" spans="1:8" x14ac:dyDescent="0.2">
      <c r="A486" t="s">
        <v>11</v>
      </c>
      <c r="B486" t="s">
        <v>19</v>
      </c>
      <c r="C486">
        <v>1378</v>
      </c>
      <c r="D486" s="8">
        <v>62010000</v>
      </c>
      <c r="E486">
        <v>52364000</v>
      </c>
      <c r="F486">
        <v>9646000</v>
      </c>
      <c r="G486" s="1">
        <v>46165</v>
      </c>
      <c r="H486" s="7">
        <f>Table1[[#This Row],[Profit]]/Table1[[#This Row],[Revenue]] *100</f>
        <v>15.555555555555555</v>
      </c>
    </row>
    <row r="487" spans="1:8" x14ac:dyDescent="0.2">
      <c r="A487" t="s">
        <v>16</v>
      </c>
      <c r="B487" t="s">
        <v>8</v>
      </c>
      <c r="C487">
        <v>1945</v>
      </c>
      <c r="D487" s="8">
        <v>5835000</v>
      </c>
      <c r="E487">
        <v>3501000</v>
      </c>
      <c r="F487">
        <v>2334000</v>
      </c>
      <c r="G487" s="1">
        <v>45764</v>
      </c>
      <c r="H487" s="7">
        <f>Table1[[#This Row],[Profit]]/Table1[[#This Row],[Revenue]] *100</f>
        <v>40</v>
      </c>
    </row>
    <row r="488" spans="1:8" x14ac:dyDescent="0.2">
      <c r="A488" t="s">
        <v>21</v>
      </c>
      <c r="B488" t="s">
        <v>12</v>
      </c>
      <c r="C488">
        <v>2044</v>
      </c>
      <c r="D488" s="8">
        <v>2452800</v>
      </c>
      <c r="E488">
        <v>1737400</v>
      </c>
      <c r="F488">
        <v>715400</v>
      </c>
      <c r="G488" s="1">
        <v>46325</v>
      </c>
      <c r="H488" s="7">
        <f>Table1[[#This Row],[Profit]]/Table1[[#This Row],[Revenue]] *100</f>
        <v>29.166666666666668</v>
      </c>
    </row>
    <row r="489" spans="1:8" x14ac:dyDescent="0.2">
      <c r="A489" t="s">
        <v>16</v>
      </c>
      <c r="B489" t="s">
        <v>10</v>
      </c>
      <c r="C489">
        <v>366</v>
      </c>
      <c r="D489" s="8">
        <v>1281000</v>
      </c>
      <c r="E489">
        <v>951600</v>
      </c>
      <c r="F489">
        <v>329400</v>
      </c>
      <c r="G489" s="1">
        <v>45593</v>
      </c>
      <c r="H489" s="7">
        <f>Table1[[#This Row],[Profit]]/Table1[[#This Row],[Revenue]] *100</f>
        <v>25.714285714285712</v>
      </c>
    </row>
    <row r="490" spans="1:8" x14ac:dyDescent="0.2">
      <c r="A490" t="s">
        <v>9</v>
      </c>
      <c r="B490" t="s">
        <v>23</v>
      </c>
      <c r="C490">
        <v>2036</v>
      </c>
      <c r="D490" s="8">
        <v>10180000</v>
      </c>
      <c r="E490">
        <v>8551200</v>
      </c>
      <c r="F490">
        <v>1628800</v>
      </c>
      <c r="G490" s="1">
        <v>45522</v>
      </c>
      <c r="H490" s="7">
        <f>Table1[[#This Row],[Profit]]/Table1[[#This Row],[Revenue]] *100</f>
        <v>16</v>
      </c>
    </row>
    <row r="491" spans="1:8" x14ac:dyDescent="0.2">
      <c r="A491" t="s">
        <v>20</v>
      </c>
      <c r="B491" t="s">
        <v>19</v>
      </c>
      <c r="C491">
        <v>684</v>
      </c>
      <c r="D491" s="8">
        <v>30780000</v>
      </c>
      <c r="E491">
        <v>25992000</v>
      </c>
      <c r="F491">
        <v>4788000</v>
      </c>
      <c r="G491" s="1">
        <v>46214</v>
      </c>
      <c r="H491" s="7">
        <f>Table1[[#This Row],[Profit]]/Table1[[#This Row],[Revenue]] *100</f>
        <v>15.555555555555555</v>
      </c>
    </row>
    <row r="492" spans="1:8" x14ac:dyDescent="0.2">
      <c r="A492" t="s">
        <v>21</v>
      </c>
      <c r="B492" t="s">
        <v>19</v>
      </c>
      <c r="C492">
        <v>1975</v>
      </c>
      <c r="D492" s="8">
        <v>88875000</v>
      </c>
      <c r="E492">
        <v>75050000</v>
      </c>
      <c r="F492">
        <v>13825000</v>
      </c>
      <c r="G492" s="1">
        <v>46381</v>
      </c>
      <c r="H492" s="7">
        <f>Table1[[#This Row],[Profit]]/Table1[[#This Row],[Revenue]] *100</f>
        <v>15.555555555555555</v>
      </c>
    </row>
    <row r="493" spans="1:8" x14ac:dyDescent="0.2">
      <c r="A493" t="s">
        <v>7</v>
      </c>
      <c r="B493" t="s">
        <v>23</v>
      </c>
      <c r="C493">
        <v>2106</v>
      </c>
      <c r="D493" s="8">
        <v>10530000</v>
      </c>
      <c r="E493">
        <v>8845200</v>
      </c>
      <c r="F493">
        <v>1684800</v>
      </c>
      <c r="G493" s="1">
        <v>46228</v>
      </c>
      <c r="H493" s="7">
        <f>Table1[[#This Row],[Profit]]/Table1[[#This Row],[Revenue]] *100</f>
        <v>16</v>
      </c>
    </row>
    <row r="494" spans="1:8" x14ac:dyDescent="0.2">
      <c r="A494" t="s">
        <v>11</v>
      </c>
      <c r="B494" t="s">
        <v>8</v>
      </c>
      <c r="C494">
        <v>2871</v>
      </c>
      <c r="D494" s="8">
        <v>8613000</v>
      </c>
      <c r="E494">
        <v>5167800</v>
      </c>
      <c r="F494">
        <v>3445200</v>
      </c>
      <c r="G494" s="1">
        <v>45403</v>
      </c>
      <c r="H494" s="7">
        <f>Table1[[#This Row],[Profit]]/Table1[[#This Row],[Revenue]] *100</f>
        <v>40</v>
      </c>
    </row>
    <row r="495" spans="1:8" x14ac:dyDescent="0.2">
      <c r="A495" t="s">
        <v>7</v>
      </c>
      <c r="B495" t="s">
        <v>17</v>
      </c>
      <c r="C495">
        <v>2320</v>
      </c>
      <c r="D495" s="8">
        <v>34800000</v>
      </c>
      <c r="E495">
        <v>25520000</v>
      </c>
      <c r="F495">
        <v>9280000</v>
      </c>
      <c r="G495" s="1">
        <v>46328</v>
      </c>
      <c r="H495" s="7">
        <f>Table1[[#This Row],[Profit]]/Table1[[#This Row],[Revenue]] *100</f>
        <v>26.666666666666668</v>
      </c>
    </row>
    <row r="496" spans="1:8" x14ac:dyDescent="0.2">
      <c r="A496" t="s">
        <v>13</v>
      </c>
      <c r="B496" t="s">
        <v>10</v>
      </c>
      <c r="C496">
        <v>1489</v>
      </c>
      <c r="D496" s="8">
        <v>5211500</v>
      </c>
      <c r="E496">
        <v>3871400</v>
      </c>
      <c r="F496">
        <v>1340100</v>
      </c>
      <c r="G496" s="1">
        <v>45791</v>
      </c>
      <c r="H496" s="7">
        <f>Table1[[#This Row],[Profit]]/Table1[[#This Row],[Revenue]] *100</f>
        <v>25.714285714285712</v>
      </c>
    </row>
    <row r="497" spans="1:8" x14ac:dyDescent="0.2">
      <c r="A497" t="s">
        <v>21</v>
      </c>
      <c r="B497" t="s">
        <v>14</v>
      </c>
      <c r="C497">
        <v>602</v>
      </c>
      <c r="D497" s="8">
        <v>722400</v>
      </c>
      <c r="E497">
        <v>481600</v>
      </c>
      <c r="F497">
        <v>240800</v>
      </c>
      <c r="G497" s="1">
        <v>46223</v>
      </c>
      <c r="H497" s="7">
        <f>Table1[[#This Row],[Profit]]/Table1[[#This Row],[Revenue]] *100</f>
        <v>33.333333333333329</v>
      </c>
    </row>
    <row r="498" spans="1:8" x14ac:dyDescent="0.2">
      <c r="A498" t="s">
        <v>7</v>
      </c>
      <c r="B498" t="s">
        <v>12</v>
      </c>
      <c r="C498">
        <v>765</v>
      </c>
      <c r="D498" s="8">
        <v>918000</v>
      </c>
      <c r="E498">
        <v>650250</v>
      </c>
      <c r="F498">
        <v>267750</v>
      </c>
      <c r="G498" s="1">
        <v>45889</v>
      </c>
      <c r="H498" s="7">
        <f>Table1[[#This Row],[Profit]]/Table1[[#This Row],[Revenue]] *100</f>
        <v>29.166666666666668</v>
      </c>
    </row>
    <row r="499" spans="1:8" x14ac:dyDescent="0.2">
      <c r="A499" t="s">
        <v>7</v>
      </c>
      <c r="B499" t="s">
        <v>14</v>
      </c>
      <c r="C499">
        <v>1337</v>
      </c>
      <c r="D499" s="8">
        <v>1604400</v>
      </c>
      <c r="E499">
        <v>1069600</v>
      </c>
      <c r="F499">
        <v>534800</v>
      </c>
      <c r="G499" s="1">
        <v>45525</v>
      </c>
      <c r="H499" s="7">
        <f>Table1[[#This Row],[Profit]]/Table1[[#This Row],[Revenue]] *100</f>
        <v>33.333333333333329</v>
      </c>
    </row>
    <row r="500" spans="1:8" x14ac:dyDescent="0.2">
      <c r="A500" t="s">
        <v>22</v>
      </c>
      <c r="B500" t="s">
        <v>23</v>
      </c>
      <c r="C500">
        <v>1763</v>
      </c>
      <c r="D500" s="8">
        <v>8815000</v>
      </c>
      <c r="E500">
        <v>7404600</v>
      </c>
      <c r="F500">
        <v>1410400</v>
      </c>
      <c r="G500" s="1">
        <v>45893</v>
      </c>
      <c r="H500" s="7">
        <f>Table1[[#This Row],[Profit]]/Table1[[#This Row],[Revenue]] *100</f>
        <v>16</v>
      </c>
    </row>
    <row r="501" spans="1:8" x14ac:dyDescent="0.2">
      <c r="A501" t="s">
        <v>16</v>
      </c>
      <c r="B501" t="s">
        <v>19</v>
      </c>
      <c r="C501">
        <v>1933</v>
      </c>
      <c r="D501" s="8">
        <v>86985000</v>
      </c>
      <c r="E501">
        <v>73454000</v>
      </c>
      <c r="F501">
        <v>13531000</v>
      </c>
      <c r="G501" s="1">
        <v>45605</v>
      </c>
      <c r="H501" s="7">
        <f>Table1[[#This Row],[Profit]]/Table1[[#This Row],[Revenue]] *100</f>
        <v>15.555555555555555</v>
      </c>
    </row>
    <row r="502" spans="1:8" x14ac:dyDescent="0.2">
      <c r="A502" t="s">
        <v>22</v>
      </c>
      <c r="B502" t="s">
        <v>8</v>
      </c>
      <c r="C502">
        <v>1157</v>
      </c>
      <c r="D502" s="8">
        <v>3471000</v>
      </c>
      <c r="E502">
        <v>2082600</v>
      </c>
      <c r="F502">
        <v>1388400</v>
      </c>
      <c r="G502" s="1">
        <v>45857</v>
      </c>
      <c r="H502" s="7">
        <f>Table1[[#This Row],[Profit]]/Table1[[#This Row],[Revenue]] *100</f>
        <v>40</v>
      </c>
    </row>
    <row r="503" spans="1:8" x14ac:dyDescent="0.2">
      <c r="A503" t="s">
        <v>21</v>
      </c>
      <c r="B503" t="s">
        <v>19</v>
      </c>
      <c r="C503">
        <v>1391</v>
      </c>
      <c r="D503" s="8">
        <v>62595000</v>
      </c>
      <c r="E503">
        <v>52858000</v>
      </c>
      <c r="F503">
        <v>9737000</v>
      </c>
      <c r="G503" s="1">
        <v>46327</v>
      </c>
      <c r="H503" s="7">
        <f>Table1[[#This Row],[Profit]]/Table1[[#This Row],[Revenue]] *100</f>
        <v>15.555555555555555</v>
      </c>
    </row>
    <row r="504" spans="1:8" x14ac:dyDescent="0.2">
      <c r="A504" t="s">
        <v>21</v>
      </c>
      <c r="B504" t="s">
        <v>12</v>
      </c>
      <c r="C504">
        <v>160</v>
      </c>
      <c r="D504" s="8">
        <v>192000</v>
      </c>
      <c r="E504">
        <v>136000</v>
      </c>
      <c r="F504">
        <v>56000</v>
      </c>
      <c r="G504" s="1">
        <v>45500</v>
      </c>
      <c r="H504" s="7">
        <f>Table1[[#This Row],[Profit]]/Table1[[#This Row],[Revenue]] *100</f>
        <v>29.166666666666668</v>
      </c>
    </row>
    <row r="505" spans="1:8" x14ac:dyDescent="0.2">
      <c r="A505" t="s">
        <v>9</v>
      </c>
      <c r="B505" t="s">
        <v>19</v>
      </c>
      <c r="C505">
        <v>300</v>
      </c>
      <c r="D505" s="8">
        <v>13500000</v>
      </c>
      <c r="E505">
        <v>11400000</v>
      </c>
      <c r="F505">
        <v>2100000</v>
      </c>
      <c r="G505" s="1">
        <v>46329</v>
      </c>
      <c r="H505" s="7">
        <f>Table1[[#This Row],[Profit]]/Table1[[#This Row],[Revenue]] *100</f>
        <v>15.555555555555555</v>
      </c>
    </row>
    <row r="506" spans="1:8" x14ac:dyDescent="0.2">
      <c r="A506" t="s">
        <v>22</v>
      </c>
      <c r="B506" t="s">
        <v>19</v>
      </c>
      <c r="C506">
        <v>2480</v>
      </c>
      <c r="D506" s="8">
        <v>111600000</v>
      </c>
      <c r="E506">
        <v>94240000</v>
      </c>
      <c r="F506">
        <v>17360000</v>
      </c>
      <c r="G506" s="1">
        <v>46335</v>
      </c>
      <c r="H506" s="7">
        <f>Table1[[#This Row],[Profit]]/Table1[[#This Row],[Revenue]] *100</f>
        <v>15.555555555555555</v>
      </c>
    </row>
    <row r="507" spans="1:8" x14ac:dyDescent="0.2">
      <c r="A507" t="s">
        <v>18</v>
      </c>
      <c r="B507" t="s">
        <v>12</v>
      </c>
      <c r="C507">
        <v>2104</v>
      </c>
      <c r="D507" s="8">
        <v>2524800</v>
      </c>
      <c r="E507">
        <v>1788400</v>
      </c>
      <c r="F507">
        <v>736400</v>
      </c>
      <c r="G507" s="1">
        <v>45878</v>
      </c>
      <c r="H507" s="7">
        <f>Table1[[#This Row],[Profit]]/Table1[[#This Row],[Revenue]] *100</f>
        <v>29.166666666666668</v>
      </c>
    </row>
    <row r="508" spans="1:8" x14ac:dyDescent="0.2">
      <c r="A508" t="s">
        <v>16</v>
      </c>
      <c r="B508" t="s">
        <v>10</v>
      </c>
      <c r="C508">
        <v>508</v>
      </c>
      <c r="D508" s="8">
        <v>1778000</v>
      </c>
      <c r="E508">
        <v>1320800</v>
      </c>
      <c r="F508">
        <v>457200</v>
      </c>
      <c r="G508" s="1">
        <v>46306</v>
      </c>
      <c r="H508" s="7">
        <f>Table1[[#This Row],[Profit]]/Table1[[#This Row],[Revenue]] *100</f>
        <v>25.714285714285712</v>
      </c>
    </row>
    <row r="509" spans="1:8" x14ac:dyDescent="0.2">
      <c r="A509" t="s">
        <v>21</v>
      </c>
      <c r="B509" t="s">
        <v>10</v>
      </c>
      <c r="C509">
        <v>1157</v>
      </c>
      <c r="D509" s="8">
        <v>4049500</v>
      </c>
      <c r="E509">
        <v>3008200</v>
      </c>
      <c r="F509">
        <v>1041300</v>
      </c>
      <c r="G509" s="1">
        <v>46385</v>
      </c>
      <c r="H509" s="7">
        <f>Table1[[#This Row],[Profit]]/Table1[[#This Row],[Revenue]] *100</f>
        <v>25.714285714285712</v>
      </c>
    </row>
    <row r="510" spans="1:8" x14ac:dyDescent="0.2">
      <c r="A510" t="s">
        <v>9</v>
      </c>
      <c r="B510" t="s">
        <v>12</v>
      </c>
      <c r="C510">
        <v>257</v>
      </c>
      <c r="D510" s="8">
        <v>308400</v>
      </c>
      <c r="E510">
        <v>218450</v>
      </c>
      <c r="F510">
        <v>89950</v>
      </c>
      <c r="G510" s="1">
        <v>45989</v>
      </c>
      <c r="H510" s="7">
        <f>Table1[[#This Row],[Profit]]/Table1[[#This Row],[Revenue]] *100</f>
        <v>29.166666666666668</v>
      </c>
    </row>
    <row r="511" spans="1:8" x14ac:dyDescent="0.2">
      <c r="A511" t="s">
        <v>22</v>
      </c>
      <c r="B511" t="s">
        <v>8</v>
      </c>
      <c r="C511">
        <v>949</v>
      </c>
      <c r="D511" s="8">
        <v>2847000</v>
      </c>
      <c r="E511">
        <v>1708200</v>
      </c>
      <c r="F511">
        <v>1138800</v>
      </c>
      <c r="G511" s="1">
        <v>45423</v>
      </c>
      <c r="H511" s="7">
        <f>Table1[[#This Row],[Profit]]/Table1[[#This Row],[Revenue]] *100</f>
        <v>40</v>
      </c>
    </row>
    <row r="512" spans="1:8" x14ac:dyDescent="0.2">
      <c r="A512" t="s">
        <v>16</v>
      </c>
      <c r="B512" t="s">
        <v>23</v>
      </c>
      <c r="C512">
        <v>71</v>
      </c>
      <c r="D512" s="8">
        <v>355000</v>
      </c>
      <c r="E512">
        <v>298200</v>
      </c>
      <c r="F512">
        <v>56800</v>
      </c>
      <c r="G512" s="1">
        <v>46335</v>
      </c>
      <c r="H512" s="7">
        <f>Table1[[#This Row],[Profit]]/Table1[[#This Row],[Revenue]] *100</f>
        <v>16</v>
      </c>
    </row>
    <row r="513" spans="1:8" x14ac:dyDescent="0.2">
      <c r="A513" t="s">
        <v>22</v>
      </c>
      <c r="B513" t="s">
        <v>19</v>
      </c>
      <c r="C513">
        <v>459</v>
      </c>
      <c r="D513" s="8">
        <v>20655000</v>
      </c>
      <c r="E513">
        <v>17442000</v>
      </c>
      <c r="F513">
        <v>3213000</v>
      </c>
      <c r="G513" s="1">
        <v>45827</v>
      </c>
      <c r="H513" s="7">
        <f>Table1[[#This Row],[Profit]]/Table1[[#This Row],[Revenue]] *100</f>
        <v>15.555555555555555</v>
      </c>
    </row>
    <row r="514" spans="1:8" x14ac:dyDescent="0.2">
      <c r="A514" t="s">
        <v>7</v>
      </c>
      <c r="B514" t="s">
        <v>8</v>
      </c>
      <c r="C514">
        <v>944</v>
      </c>
      <c r="D514" s="8">
        <v>2832000</v>
      </c>
      <c r="E514">
        <v>1699200</v>
      </c>
      <c r="F514">
        <v>1132800</v>
      </c>
      <c r="G514" s="1">
        <v>46305</v>
      </c>
      <c r="H514" s="7">
        <f>Table1[[#This Row],[Profit]]/Table1[[#This Row],[Revenue]] *100</f>
        <v>40</v>
      </c>
    </row>
    <row r="515" spans="1:8" x14ac:dyDescent="0.2">
      <c r="A515" t="s">
        <v>9</v>
      </c>
      <c r="B515" t="s">
        <v>19</v>
      </c>
      <c r="C515">
        <v>564</v>
      </c>
      <c r="D515" s="8">
        <v>25380000</v>
      </c>
      <c r="E515">
        <v>21432000</v>
      </c>
      <c r="F515">
        <v>3948000</v>
      </c>
      <c r="G515" s="1">
        <v>45518</v>
      </c>
      <c r="H515" s="7">
        <f>Table1[[#This Row],[Profit]]/Table1[[#This Row],[Revenue]] *100</f>
        <v>15.555555555555555</v>
      </c>
    </row>
    <row r="516" spans="1:8" x14ac:dyDescent="0.2">
      <c r="A516" t="s">
        <v>16</v>
      </c>
      <c r="B516" t="s">
        <v>23</v>
      </c>
      <c r="C516">
        <v>858</v>
      </c>
      <c r="D516" s="8">
        <v>4290000</v>
      </c>
      <c r="E516">
        <v>3603600</v>
      </c>
      <c r="F516">
        <v>686400</v>
      </c>
      <c r="G516" s="1">
        <v>46113</v>
      </c>
      <c r="H516" s="7">
        <f>Table1[[#This Row],[Profit]]/Table1[[#This Row],[Revenue]] *100</f>
        <v>16</v>
      </c>
    </row>
    <row r="517" spans="1:8" x14ac:dyDescent="0.2">
      <c r="A517" t="s">
        <v>15</v>
      </c>
      <c r="B517" t="s">
        <v>10</v>
      </c>
      <c r="C517">
        <v>923</v>
      </c>
      <c r="D517" s="8">
        <v>3230500</v>
      </c>
      <c r="E517">
        <v>2399800</v>
      </c>
      <c r="F517">
        <v>830700</v>
      </c>
      <c r="G517" s="1">
        <v>46162</v>
      </c>
      <c r="H517" s="7">
        <f>Table1[[#This Row],[Profit]]/Table1[[#This Row],[Revenue]] *100</f>
        <v>25.714285714285712</v>
      </c>
    </row>
    <row r="518" spans="1:8" x14ac:dyDescent="0.2">
      <c r="A518" t="s">
        <v>13</v>
      </c>
      <c r="B518" t="s">
        <v>8</v>
      </c>
      <c r="C518">
        <v>63</v>
      </c>
      <c r="D518" s="8">
        <v>189000</v>
      </c>
      <c r="E518">
        <v>113400</v>
      </c>
      <c r="F518">
        <v>75600</v>
      </c>
      <c r="G518" s="1">
        <v>45696</v>
      </c>
      <c r="H518" s="7">
        <f>Table1[[#This Row],[Profit]]/Table1[[#This Row],[Revenue]] *100</f>
        <v>40</v>
      </c>
    </row>
    <row r="519" spans="1:8" x14ac:dyDescent="0.2">
      <c r="A519" t="s">
        <v>13</v>
      </c>
      <c r="B519" t="s">
        <v>17</v>
      </c>
      <c r="C519">
        <v>1020</v>
      </c>
      <c r="D519" s="8">
        <v>15300000</v>
      </c>
      <c r="E519">
        <v>11220000</v>
      </c>
      <c r="F519">
        <v>4080000</v>
      </c>
      <c r="G519" s="1">
        <v>45493</v>
      </c>
      <c r="H519" s="7">
        <f>Table1[[#This Row],[Profit]]/Table1[[#This Row],[Revenue]] *100</f>
        <v>26.666666666666668</v>
      </c>
    </row>
    <row r="520" spans="1:8" x14ac:dyDescent="0.2">
      <c r="A520" t="s">
        <v>16</v>
      </c>
      <c r="B520" t="s">
        <v>17</v>
      </c>
      <c r="C520">
        <v>2184</v>
      </c>
      <c r="D520" s="8">
        <v>32760000</v>
      </c>
      <c r="E520">
        <v>24024000</v>
      </c>
      <c r="F520">
        <v>8736000</v>
      </c>
      <c r="G520" s="1">
        <v>45329</v>
      </c>
      <c r="H520" s="7">
        <f>Table1[[#This Row],[Profit]]/Table1[[#This Row],[Revenue]] *100</f>
        <v>26.666666666666668</v>
      </c>
    </row>
    <row r="521" spans="1:8" x14ac:dyDescent="0.2">
      <c r="A521" t="s">
        <v>22</v>
      </c>
      <c r="B521" t="s">
        <v>17</v>
      </c>
      <c r="C521">
        <v>1610</v>
      </c>
      <c r="D521" s="8">
        <v>24150000</v>
      </c>
      <c r="E521">
        <v>17710000</v>
      </c>
      <c r="F521">
        <v>6440000</v>
      </c>
      <c r="G521" s="1">
        <v>46233</v>
      </c>
      <c r="H521" s="7">
        <f>Table1[[#This Row],[Profit]]/Table1[[#This Row],[Revenue]] *100</f>
        <v>26.666666666666668</v>
      </c>
    </row>
    <row r="522" spans="1:8" x14ac:dyDescent="0.2">
      <c r="A522" t="s">
        <v>9</v>
      </c>
      <c r="B522" t="s">
        <v>10</v>
      </c>
      <c r="C522">
        <v>1374</v>
      </c>
      <c r="D522" s="8">
        <v>4809000</v>
      </c>
      <c r="E522">
        <v>3572400</v>
      </c>
      <c r="F522">
        <v>1236600</v>
      </c>
      <c r="G522" s="1">
        <v>45479</v>
      </c>
      <c r="H522" s="7">
        <f>Table1[[#This Row],[Profit]]/Table1[[#This Row],[Revenue]] *100</f>
        <v>25.714285714285712</v>
      </c>
    </row>
    <row r="523" spans="1:8" x14ac:dyDescent="0.2">
      <c r="A523" t="s">
        <v>13</v>
      </c>
      <c r="B523" t="s">
        <v>10</v>
      </c>
      <c r="C523">
        <v>1316</v>
      </c>
      <c r="D523" s="8">
        <v>4606000</v>
      </c>
      <c r="E523">
        <v>3421600</v>
      </c>
      <c r="F523">
        <v>1184400</v>
      </c>
      <c r="G523" s="1">
        <v>46372</v>
      </c>
      <c r="H523" s="7">
        <f>Table1[[#This Row],[Profit]]/Table1[[#This Row],[Revenue]] *100</f>
        <v>25.714285714285712</v>
      </c>
    </row>
    <row r="524" spans="1:8" x14ac:dyDescent="0.2">
      <c r="A524" t="s">
        <v>9</v>
      </c>
      <c r="B524" t="s">
        <v>23</v>
      </c>
      <c r="C524">
        <v>2219</v>
      </c>
      <c r="D524" s="8">
        <v>11095000</v>
      </c>
      <c r="E524">
        <v>9319800</v>
      </c>
      <c r="F524">
        <v>1775200</v>
      </c>
      <c r="G524" s="1">
        <v>46232</v>
      </c>
      <c r="H524" s="7">
        <f>Table1[[#This Row],[Profit]]/Table1[[#This Row],[Revenue]] *100</f>
        <v>16</v>
      </c>
    </row>
    <row r="525" spans="1:8" x14ac:dyDescent="0.2">
      <c r="A525" t="s">
        <v>13</v>
      </c>
      <c r="B525" t="s">
        <v>19</v>
      </c>
      <c r="C525">
        <v>799</v>
      </c>
      <c r="D525" s="8">
        <v>35955000</v>
      </c>
      <c r="E525">
        <v>30362000</v>
      </c>
      <c r="F525">
        <v>5593000</v>
      </c>
      <c r="G525" s="1">
        <v>46335</v>
      </c>
      <c r="H525" s="7">
        <f>Table1[[#This Row],[Profit]]/Table1[[#This Row],[Revenue]] *100</f>
        <v>15.555555555555555</v>
      </c>
    </row>
    <row r="526" spans="1:8" x14ac:dyDescent="0.2">
      <c r="A526" t="s">
        <v>7</v>
      </c>
      <c r="B526" t="s">
        <v>23</v>
      </c>
      <c r="C526">
        <v>734</v>
      </c>
      <c r="D526" s="8">
        <v>3670000</v>
      </c>
      <c r="E526">
        <v>3082800</v>
      </c>
      <c r="F526">
        <v>587200</v>
      </c>
      <c r="G526" s="1">
        <v>45564</v>
      </c>
      <c r="H526" s="7">
        <f>Table1[[#This Row],[Profit]]/Table1[[#This Row],[Revenue]] *100</f>
        <v>16</v>
      </c>
    </row>
    <row r="527" spans="1:8" x14ac:dyDescent="0.2">
      <c r="A527" t="s">
        <v>22</v>
      </c>
      <c r="B527" t="s">
        <v>23</v>
      </c>
      <c r="C527">
        <v>1977</v>
      </c>
      <c r="D527" s="8">
        <v>9885000</v>
      </c>
      <c r="E527">
        <v>8303400</v>
      </c>
      <c r="F527">
        <v>1581600</v>
      </c>
      <c r="G527" s="1">
        <v>45874</v>
      </c>
      <c r="H527" s="7">
        <f>Table1[[#This Row],[Profit]]/Table1[[#This Row],[Revenue]] *100</f>
        <v>16</v>
      </c>
    </row>
    <row r="528" spans="1:8" x14ac:dyDescent="0.2">
      <c r="A528" t="s">
        <v>7</v>
      </c>
      <c r="B528" t="s">
        <v>10</v>
      </c>
      <c r="C528">
        <v>2406</v>
      </c>
      <c r="D528" s="8">
        <v>8421000</v>
      </c>
      <c r="E528">
        <v>6255600</v>
      </c>
      <c r="F528">
        <v>2165400</v>
      </c>
      <c r="G528" s="1">
        <v>45807</v>
      </c>
      <c r="H528" s="7">
        <f>Table1[[#This Row],[Profit]]/Table1[[#This Row],[Revenue]] *100</f>
        <v>25.714285714285712</v>
      </c>
    </row>
    <row r="529" spans="1:8" x14ac:dyDescent="0.2">
      <c r="A529" t="s">
        <v>13</v>
      </c>
      <c r="B529" t="s">
        <v>17</v>
      </c>
      <c r="C529">
        <v>744</v>
      </c>
      <c r="D529" s="8">
        <v>11160000</v>
      </c>
      <c r="E529">
        <v>8184000</v>
      </c>
      <c r="F529">
        <v>2976000</v>
      </c>
      <c r="G529" s="1">
        <v>45817</v>
      </c>
      <c r="H529" s="7">
        <f>Table1[[#This Row],[Profit]]/Table1[[#This Row],[Revenue]] *100</f>
        <v>26.666666666666668</v>
      </c>
    </row>
    <row r="530" spans="1:8" x14ac:dyDescent="0.2">
      <c r="A530" t="s">
        <v>15</v>
      </c>
      <c r="B530" t="s">
        <v>14</v>
      </c>
      <c r="C530">
        <v>2385</v>
      </c>
      <c r="D530" s="8">
        <v>2862000</v>
      </c>
      <c r="E530">
        <v>1908000</v>
      </c>
      <c r="F530">
        <v>954000</v>
      </c>
      <c r="G530" s="1">
        <v>45627</v>
      </c>
      <c r="H530" s="7">
        <f>Table1[[#This Row],[Profit]]/Table1[[#This Row],[Revenue]] *100</f>
        <v>33.333333333333329</v>
      </c>
    </row>
    <row r="531" spans="1:8" x14ac:dyDescent="0.2">
      <c r="A531" t="s">
        <v>15</v>
      </c>
      <c r="B531" t="s">
        <v>19</v>
      </c>
      <c r="C531">
        <v>356</v>
      </c>
      <c r="D531" s="8">
        <v>16020000</v>
      </c>
      <c r="E531">
        <v>13528000</v>
      </c>
      <c r="F531">
        <v>2492000</v>
      </c>
      <c r="G531" s="1">
        <v>45989</v>
      </c>
      <c r="H531" s="7">
        <f>Table1[[#This Row],[Profit]]/Table1[[#This Row],[Revenue]] *100</f>
        <v>15.555555555555555</v>
      </c>
    </row>
    <row r="532" spans="1:8" x14ac:dyDescent="0.2">
      <c r="A532" t="s">
        <v>7</v>
      </c>
      <c r="B532" t="s">
        <v>10</v>
      </c>
      <c r="C532">
        <v>2039</v>
      </c>
      <c r="D532" s="8">
        <v>7136500</v>
      </c>
      <c r="E532">
        <v>5301400</v>
      </c>
      <c r="F532">
        <v>1835100</v>
      </c>
      <c r="G532" s="1">
        <v>46370</v>
      </c>
      <c r="H532" s="7">
        <f>Table1[[#This Row],[Profit]]/Table1[[#This Row],[Revenue]] *100</f>
        <v>25.714285714285712</v>
      </c>
    </row>
    <row r="533" spans="1:8" x14ac:dyDescent="0.2">
      <c r="A533" t="s">
        <v>15</v>
      </c>
      <c r="B533" t="s">
        <v>17</v>
      </c>
      <c r="C533">
        <v>711</v>
      </c>
      <c r="D533" s="8">
        <v>10665000</v>
      </c>
      <c r="E533">
        <v>7821000</v>
      </c>
      <c r="F533">
        <v>2844000</v>
      </c>
      <c r="G533" s="1">
        <v>45791</v>
      </c>
      <c r="H533" s="7">
        <f>Table1[[#This Row],[Profit]]/Table1[[#This Row],[Revenue]] *100</f>
        <v>26.666666666666668</v>
      </c>
    </row>
    <row r="534" spans="1:8" x14ac:dyDescent="0.2">
      <c r="A534" t="s">
        <v>13</v>
      </c>
      <c r="B534" t="s">
        <v>8</v>
      </c>
      <c r="C534">
        <v>598</v>
      </c>
      <c r="D534" s="8">
        <v>1794000</v>
      </c>
      <c r="E534">
        <v>1076400</v>
      </c>
      <c r="F534">
        <v>717600</v>
      </c>
      <c r="G534" s="1">
        <v>46191</v>
      </c>
      <c r="H534" s="7">
        <f>Table1[[#This Row],[Profit]]/Table1[[#This Row],[Revenue]] *100</f>
        <v>40</v>
      </c>
    </row>
    <row r="535" spans="1:8" x14ac:dyDescent="0.2">
      <c r="A535" t="s">
        <v>16</v>
      </c>
      <c r="B535" t="s">
        <v>14</v>
      </c>
      <c r="C535">
        <v>361</v>
      </c>
      <c r="D535" s="8">
        <v>433200</v>
      </c>
      <c r="E535">
        <v>288800</v>
      </c>
      <c r="F535">
        <v>144400</v>
      </c>
      <c r="G535" s="1">
        <v>46057</v>
      </c>
      <c r="H535" s="7">
        <f>Table1[[#This Row],[Profit]]/Table1[[#This Row],[Revenue]] *100</f>
        <v>33.333333333333329</v>
      </c>
    </row>
    <row r="536" spans="1:8" x14ac:dyDescent="0.2">
      <c r="A536" t="s">
        <v>7</v>
      </c>
      <c r="B536" t="s">
        <v>14</v>
      </c>
      <c r="C536">
        <v>2970</v>
      </c>
      <c r="D536" s="8">
        <v>3564000</v>
      </c>
      <c r="E536">
        <v>2376000</v>
      </c>
      <c r="F536">
        <v>1188000</v>
      </c>
      <c r="G536" s="1">
        <v>45827</v>
      </c>
      <c r="H536" s="7">
        <f>Table1[[#This Row],[Profit]]/Table1[[#This Row],[Revenue]] *100</f>
        <v>33.333333333333329</v>
      </c>
    </row>
    <row r="537" spans="1:8" x14ac:dyDescent="0.2">
      <c r="A537" t="s">
        <v>20</v>
      </c>
      <c r="B537" t="s">
        <v>10</v>
      </c>
      <c r="C537">
        <v>1132</v>
      </c>
      <c r="D537" s="8">
        <v>3962000</v>
      </c>
      <c r="E537">
        <v>2943200</v>
      </c>
      <c r="F537">
        <v>1018800</v>
      </c>
      <c r="G537" s="1">
        <v>45453</v>
      </c>
      <c r="H537" s="7">
        <f>Table1[[#This Row],[Profit]]/Table1[[#This Row],[Revenue]] *100</f>
        <v>25.714285714285712</v>
      </c>
    </row>
    <row r="538" spans="1:8" x14ac:dyDescent="0.2">
      <c r="A538" t="s">
        <v>22</v>
      </c>
      <c r="B538" t="s">
        <v>12</v>
      </c>
      <c r="C538">
        <v>1787</v>
      </c>
      <c r="D538" s="8">
        <v>2144400</v>
      </c>
      <c r="E538">
        <v>1518950</v>
      </c>
      <c r="F538">
        <v>625450</v>
      </c>
      <c r="G538" s="1">
        <v>45885</v>
      </c>
      <c r="H538" s="7">
        <f>Table1[[#This Row],[Profit]]/Table1[[#This Row],[Revenue]] *100</f>
        <v>29.166666666666668</v>
      </c>
    </row>
    <row r="539" spans="1:8" x14ac:dyDescent="0.2">
      <c r="A539" t="s">
        <v>15</v>
      </c>
      <c r="B539" t="s">
        <v>19</v>
      </c>
      <c r="C539">
        <v>804</v>
      </c>
      <c r="D539" s="8">
        <v>36180000</v>
      </c>
      <c r="E539">
        <v>30552000</v>
      </c>
      <c r="F539">
        <v>5628000</v>
      </c>
      <c r="G539" s="1">
        <v>45450</v>
      </c>
      <c r="H539" s="7">
        <f>Table1[[#This Row],[Profit]]/Table1[[#This Row],[Revenue]] *100</f>
        <v>15.555555555555555</v>
      </c>
    </row>
    <row r="540" spans="1:8" x14ac:dyDescent="0.2">
      <c r="A540" t="s">
        <v>15</v>
      </c>
      <c r="B540" t="s">
        <v>14</v>
      </c>
      <c r="C540">
        <v>84</v>
      </c>
      <c r="D540" s="8">
        <v>100800</v>
      </c>
      <c r="E540">
        <v>67200</v>
      </c>
      <c r="F540">
        <v>33600</v>
      </c>
      <c r="G540" s="1">
        <v>45351</v>
      </c>
      <c r="H540" s="7">
        <f>Table1[[#This Row],[Profit]]/Table1[[#This Row],[Revenue]] *100</f>
        <v>33.333333333333329</v>
      </c>
    </row>
    <row r="541" spans="1:8" x14ac:dyDescent="0.2">
      <c r="A541" t="s">
        <v>21</v>
      </c>
      <c r="B541" t="s">
        <v>10</v>
      </c>
      <c r="C541">
        <v>494</v>
      </c>
      <c r="D541" s="8">
        <v>1729000</v>
      </c>
      <c r="E541">
        <v>1284400</v>
      </c>
      <c r="F541">
        <v>444600</v>
      </c>
      <c r="G541" s="1">
        <v>46206</v>
      </c>
      <c r="H541" s="7">
        <f>Table1[[#This Row],[Profit]]/Table1[[#This Row],[Revenue]] *100</f>
        <v>25.714285714285712</v>
      </c>
    </row>
    <row r="542" spans="1:8" x14ac:dyDescent="0.2">
      <c r="A542" t="s">
        <v>18</v>
      </c>
      <c r="B542" t="s">
        <v>10</v>
      </c>
      <c r="C542">
        <v>2190</v>
      </c>
      <c r="D542" s="8">
        <v>7665000</v>
      </c>
      <c r="E542">
        <v>5694000</v>
      </c>
      <c r="F542">
        <v>1971000</v>
      </c>
      <c r="G542" s="1">
        <v>45502</v>
      </c>
      <c r="H542" s="7">
        <f>Table1[[#This Row],[Profit]]/Table1[[#This Row],[Revenue]] *100</f>
        <v>25.714285714285712</v>
      </c>
    </row>
    <row r="543" spans="1:8" x14ac:dyDescent="0.2">
      <c r="A543" t="s">
        <v>7</v>
      </c>
      <c r="B543" t="s">
        <v>17</v>
      </c>
      <c r="C543">
        <v>2032</v>
      </c>
      <c r="D543" s="8">
        <v>30480000</v>
      </c>
      <c r="E543">
        <v>22352000</v>
      </c>
      <c r="F543">
        <v>8128000</v>
      </c>
      <c r="G543" s="1">
        <v>45697</v>
      </c>
      <c r="H543" s="7">
        <f>Table1[[#This Row],[Profit]]/Table1[[#This Row],[Revenue]] *100</f>
        <v>26.666666666666668</v>
      </c>
    </row>
    <row r="544" spans="1:8" x14ac:dyDescent="0.2">
      <c r="A544" t="s">
        <v>11</v>
      </c>
      <c r="B544" t="s">
        <v>8</v>
      </c>
      <c r="C544">
        <v>1280</v>
      </c>
      <c r="D544" s="8">
        <v>3840000</v>
      </c>
      <c r="E544">
        <v>2304000</v>
      </c>
      <c r="F544">
        <v>1536000</v>
      </c>
      <c r="G544" s="1">
        <v>45955</v>
      </c>
      <c r="H544" s="7">
        <f>Table1[[#This Row],[Profit]]/Table1[[#This Row],[Revenue]] *100</f>
        <v>40</v>
      </c>
    </row>
    <row r="545" spans="1:8" x14ac:dyDescent="0.2">
      <c r="A545" t="s">
        <v>15</v>
      </c>
      <c r="B545" t="s">
        <v>12</v>
      </c>
      <c r="C545">
        <v>402</v>
      </c>
      <c r="D545" s="8">
        <v>482400</v>
      </c>
      <c r="E545">
        <v>341700</v>
      </c>
      <c r="F545">
        <v>140700</v>
      </c>
      <c r="G545" s="1">
        <v>45833</v>
      </c>
      <c r="H545" s="7">
        <f>Table1[[#This Row],[Profit]]/Table1[[#This Row],[Revenue]] *100</f>
        <v>29.166666666666668</v>
      </c>
    </row>
    <row r="546" spans="1:8" x14ac:dyDescent="0.2">
      <c r="A546" t="s">
        <v>22</v>
      </c>
      <c r="B546" t="s">
        <v>19</v>
      </c>
      <c r="C546">
        <v>952</v>
      </c>
      <c r="D546" s="8">
        <v>42840000</v>
      </c>
      <c r="E546">
        <v>36176000</v>
      </c>
      <c r="F546">
        <v>6664000</v>
      </c>
      <c r="G546" s="1">
        <v>46289</v>
      </c>
      <c r="H546" s="7">
        <f>Table1[[#This Row],[Profit]]/Table1[[#This Row],[Revenue]] *100</f>
        <v>15.555555555555555</v>
      </c>
    </row>
    <row r="547" spans="1:8" x14ac:dyDescent="0.2">
      <c r="A547" t="s">
        <v>20</v>
      </c>
      <c r="B547" t="s">
        <v>23</v>
      </c>
      <c r="C547">
        <v>1405</v>
      </c>
      <c r="D547" s="8">
        <v>7025000</v>
      </c>
      <c r="E547">
        <v>5901000</v>
      </c>
      <c r="F547">
        <v>1124000</v>
      </c>
      <c r="G547" s="1">
        <v>46218</v>
      </c>
      <c r="H547" s="7">
        <f>Table1[[#This Row],[Profit]]/Table1[[#This Row],[Revenue]] *100</f>
        <v>16</v>
      </c>
    </row>
    <row r="548" spans="1:8" x14ac:dyDescent="0.2">
      <c r="A548" t="s">
        <v>15</v>
      </c>
      <c r="B548" t="s">
        <v>8</v>
      </c>
      <c r="C548">
        <v>2959</v>
      </c>
      <c r="D548" s="8">
        <v>8877000</v>
      </c>
      <c r="E548">
        <v>5326200</v>
      </c>
      <c r="F548">
        <v>3550800</v>
      </c>
      <c r="G548" s="1">
        <v>46159</v>
      </c>
      <c r="H548" s="7">
        <f>Table1[[#This Row],[Profit]]/Table1[[#This Row],[Revenue]] *100</f>
        <v>40</v>
      </c>
    </row>
    <row r="549" spans="1:8" x14ac:dyDescent="0.2">
      <c r="A549" t="s">
        <v>20</v>
      </c>
      <c r="B549" t="s">
        <v>8</v>
      </c>
      <c r="C549">
        <v>1798</v>
      </c>
      <c r="D549" s="8">
        <v>5394000</v>
      </c>
      <c r="E549">
        <v>3236400</v>
      </c>
      <c r="F549">
        <v>2157600</v>
      </c>
      <c r="G549" s="1">
        <v>45310</v>
      </c>
      <c r="H549" s="7">
        <f>Table1[[#This Row],[Profit]]/Table1[[#This Row],[Revenue]] *100</f>
        <v>40</v>
      </c>
    </row>
    <row r="550" spans="1:8" x14ac:dyDescent="0.2">
      <c r="A550" t="s">
        <v>13</v>
      </c>
      <c r="B550" t="s">
        <v>17</v>
      </c>
      <c r="C550">
        <v>208</v>
      </c>
      <c r="D550" s="8">
        <v>3120000</v>
      </c>
      <c r="E550">
        <v>2288000</v>
      </c>
      <c r="F550">
        <v>832000</v>
      </c>
      <c r="G550" s="1">
        <v>45723</v>
      </c>
      <c r="H550" s="7">
        <f>Table1[[#This Row],[Profit]]/Table1[[#This Row],[Revenue]] *100</f>
        <v>26.666666666666668</v>
      </c>
    </row>
    <row r="551" spans="1:8" x14ac:dyDescent="0.2">
      <c r="A551" t="s">
        <v>13</v>
      </c>
      <c r="B551" t="s">
        <v>14</v>
      </c>
      <c r="C551">
        <v>2027</v>
      </c>
      <c r="D551" s="8">
        <v>2432400</v>
      </c>
      <c r="E551">
        <v>1621600</v>
      </c>
      <c r="F551">
        <v>810800</v>
      </c>
      <c r="G551" s="1">
        <v>46031</v>
      </c>
      <c r="H551" s="7">
        <f>Table1[[#This Row],[Profit]]/Table1[[#This Row],[Revenue]] *100</f>
        <v>33.333333333333329</v>
      </c>
    </row>
    <row r="552" spans="1:8" x14ac:dyDescent="0.2">
      <c r="A552" t="s">
        <v>18</v>
      </c>
      <c r="B552" t="s">
        <v>14</v>
      </c>
      <c r="C552">
        <v>1006</v>
      </c>
      <c r="D552" s="8">
        <v>1207200</v>
      </c>
      <c r="E552">
        <v>804800</v>
      </c>
      <c r="F552">
        <v>402400</v>
      </c>
      <c r="G552" s="1">
        <v>45474</v>
      </c>
      <c r="H552" s="7">
        <f>Table1[[#This Row],[Profit]]/Table1[[#This Row],[Revenue]] *100</f>
        <v>33.333333333333329</v>
      </c>
    </row>
    <row r="553" spans="1:8" x14ac:dyDescent="0.2">
      <c r="A553" t="s">
        <v>16</v>
      </c>
      <c r="B553" t="s">
        <v>17</v>
      </c>
      <c r="C553">
        <v>2121</v>
      </c>
      <c r="D553" s="8">
        <v>31815000</v>
      </c>
      <c r="E553">
        <v>23331000</v>
      </c>
      <c r="F553">
        <v>8484000</v>
      </c>
      <c r="G553" s="1">
        <v>45404</v>
      </c>
      <c r="H553" s="7">
        <f>Table1[[#This Row],[Profit]]/Table1[[#This Row],[Revenue]] *100</f>
        <v>26.666666666666668</v>
      </c>
    </row>
    <row r="554" spans="1:8" x14ac:dyDescent="0.2">
      <c r="A554" t="s">
        <v>11</v>
      </c>
      <c r="B554" t="s">
        <v>10</v>
      </c>
      <c r="C554">
        <v>453</v>
      </c>
      <c r="D554" s="8">
        <v>1585500</v>
      </c>
      <c r="E554">
        <v>1177800</v>
      </c>
      <c r="F554">
        <v>407700</v>
      </c>
      <c r="G554" s="1">
        <v>45772</v>
      </c>
      <c r="H554" s="7">
        <f>Table1[[#This Row],[Profit]]/Table1[[#This Row],[Revenue]] *100</f>
        <v>25.714285714285712</v>
      </c>
    </row>
    <row r="555" spans="1:8" x14ac:dyDescent="0.2">
      <c r="A555" t="s">
        <v>21</v>
      </c>
      <c r="B555" t="s">
        <v>14</v>
      </c>
      <c r="C555">
        <v>2902</v>
      </c>
      <c r="D555" s="8">
        <v>3482400</v>
      </c>
      <c r="E555">
        <v>2321600</v>
      </c>
      <c r="F555">
        <v>1160800</v>
      </c>
      <c r="G555" s="1">
        <v>46122</v>
      </c>
      <c r="H555" s="7">
        <f>Table1[[#This Row],[Profit]]/Table1[[#This Row],[Revenue]] *100</f>
        <v>33.333333333333329</v>
      </c>
    </row>
    <row r="556" spans="1:8" x14ac:dyDescent="0.2">
      <c r="A556" t="s">
        <v>18</v>
      </c>
      <c r="B556" t="s">
        <v>12</v>
      </c>
      <c r="C556">
        <v>565</v>
      </c>
      <c r="D556" s="8">
        <v>678000</v>
      </c>
      <c r="E556">
        <v>480250</v>
      </c>
      <c r="F556">
        <v>197750</v>
      </c>
      <c r="G556" s="1">
        <v>46054</v>
      </c>
      <c r="H556" s="7">
        <f>Table1[[#This Row],[Profit]]/Table1[[#This Row],[Revenue]] *100</f>
        <v>29.166666666666668</v>
      </c>
    </row>
    <row r="557" spans="1:8" x14ac:dyDescent="0.2">
      <c r="A557" t="s">
        <v>9</v>
      </c>
      <c r="B557" t="s">
        <v>19</v>
      </c>
      <c r="C557">
        <v>2829</v>
      </c>
      <c r="D557" s="8">
        <v>127305000</v>
      </c>
      <c r="E557">
        <v>107502000</v>
      </c>
      <c r="F557">
        <v>19803000</v>
      </c>
      <c r="G557" s="1">
        <v>45767</v>
      </c>
      <c r="H557" s="7">
        <f>Table1[[#This Row],[Profit]]/Table1[[#This Row],[Revenue]] *100</f>
        <v>15.555555555555555</v>
      </c>
    </row>
    <row r="558" spans="1:8" x14ac:dyDescent="0.2">
      <c r="A558" t="s">
        <v>21</v>
      </c>
      <c r="B558" t="s">
        <v>8</v>
      </c>
      <c r="C558">
        <v>1437</v>
      </c>
      <c r="D558" s="8">
        <v>4311000</v>
      </c>
      <c r="E558">
        <v>2586600</v>
      </c>
      <c r="F558">
        <v>1724400</v>
      </c>
      <c r="G558" s="1">
        <v>46054</v>
      </c>
      <c r="H558" s="7">
        <f>Table1[[#This Row],[Profit]]/Table1[[#This Row],[Revenue]] *100</f>
        <v>40</v>
      </c>
    </row>
    <row r="559" spans="1:8" x14ac:dyDescent="0.2">
      <c r="A559" t="s">
        <v>7</v>
      </c>
      <c r="B559" t="s">
        <v>8</v>
      </c>
      <c r="C559">
        <v>2629</v>
      </c>
      <c r="D559" s="8">
        <v>7887000</v>
      </c>
      <c r="E559">
        <v>4732200</v>
      </c>
      <c r="F559">
        <v>3154800</v>
      </c>
      <c r="G559" s="1">
        <v>46262</v>
      </c>
      <c r="H559" s="7">
        <f>Table1[[#This Row],[Profit]]/Table1[[#This Row],[Revenue]] *100</f>
        <v>40</v>
      </c>
    </row>
    <row r="560" spans="1:8" x14ac:dyDescent="0.2">
      <c r="A560" t="s">
        <v>22</v>
      </c>
      <c r="B560" t="s">
        <v>12</v>
      </c>
      <c r="C560">
        <v>1005</v>
      </c>
      <c r="D560" s="8">
        <v>1206000</v>
      </c>
      <c r="E560">
        <v>854250</v>
      </c>
      <c r="F560">
        <v>351750</v>
      </c>
      <c r="G560" s="1">
        <v>46311</v>
      </c>
      <c r="H560" s="7">
        <f>Table1[[#This Row],[Profit]]/Table1[[#This Row],[Revenue]] *100</f>
        <v>29.166666666666668</v>
      </c>
    </row>
    <row r="561" spans="1:8" x14ac:dyDescent="0.2">
      <c r="A561" t="s">
        <v>9</v>
      </c>
      <c r="B561" t="s">
        <v>14</v>
      </c>
      <c r="C561">
        <v>2249</v>
      </c>
      <c r="D561" s="8">
        <v>2698800</v>
      </c>
      <c r="E561">
        <v>1799200</v>
      </c>
      <c r="F561">
        <v>899600</v>
      </c>
      <c r="G561" s="1">
        <v>45452</v>
      </c>
      <c r="H561" s="7">
        <f>Table1[[#This Row],[Profit]]/Table1[[#This Row],[Revenue]] *100</f>
        <v>33.333333333333329</v>
      </c>
    </row>
    <row r="562" spans="1:8" x14ac:dyDescent="0.2">
      <c r="A562" t="s">
        <v>9</v>
      </c>
      <c r="B562" t="s">
        <v>8</v>
      </c>
      <c r="C562">
        <v>1762</v>
      </c>
      <c r="D562" s="8">
        <v>5286000</v>
      </c>
      <c r="E562">
        <v>3171600</v>
      </c>
      <c r="F562">
        <v>2114400</v>
      </c>
      <c r="G562" s="1">
        <v>45692</v>
      </c>
      <c r="H562" s="7">
        <f>Table1[[#This Row],[Profit]]/Table1[[#This Row],[Revenue]] *100</f>
        <v>40</v>
      </c>
    </row>
    <row r="563" spans="1:8" x14ac:dyDescent="0.2">
      <c r="A563" t="s">
        <v>18</v>
      </c>
      <c r="B563" t="s">
        <v>23</v>
      </c>
      <c r="C563">
        <v>657</v>
      </c>
      <c r="D563" s="8">
        <v>3285000</v>
      </c>
      <c r="E563">
        <v>2759400</v>
      </c>
      <c r="F563">
        <v>525600</v>
      </c>
      <c r="G563" s="1">
        <v>45489</v>
      </c>
      <c r="H563" s="7">
        <f>Table1[[#This Row],[Profit]]/Table1[[#This Row],[Revenue]] *100</f>
        <v>16</v>
      </c>
    </row>
    <row r="564" spans="1:8" x14ac:dyDescent="0.2">
      <c r="A564" t="s">
        <v>16</v>
      </c>
      <c r="B564" t="s">
        <v>19</v>
      </c>
      <c r="C564">
        <v>2517</v>
      </c>
      <c r="D564" s="8">
        <v>113265000</v>
      </c>
      <c r="E564">
        <v>95646000</v>
      </c>
      <c r="F564">
        <v>17619000</v>
      </c>
      <c r="G564" s="1">
        <v>45951</v>
      </c>
      <c r="H564" s="7">
        <f>Table1[[#This Row],[Profit]]/Table1[[#This Row],[Revenue]] *100</f>
        <v>15.555555555555555</v>
      </c>
    </row>
    <row r="565" spans="1:8" x14ac:dyDescent="0.2">
      <c r="A565" t="s">
        <v>18</v>
      </c>
      <c r="B565" t="s">
        <v>19</v>
      </c>
      <c r="C565">
        <v>1323</v>
      </c>
      <c r="D565" s="8">
        <v>59535000</v>
      </c>
      <c r="E565">
        <v>50274000</v>
      </c>
      <c r="F565">
        <v>9261000</v>
      </c>
      <c r="G565" s="1">
        <v>46362</v>
      </c>
      <c r="H565" s="7">
        <f>Table1[[#This Row],[Profit]]/Table1[[#This Row],[Revenue]] *100</f>
        <v>15.555555555555555</v>
      </c>
    </row>
    <row r="566" spans="1:8" x14ac:dyDescent="0.2">
      <c r="A566" t="s">
        <v>7</v>
      </c>
      <c r="B566" t="s">
        <v>8</v>
      </c>
      <c r="C566">
        <v>2963</v>
      </c>
      <c r="D566" s="8">
        <v>8889000</v>
      </c>
      <c r="E566">
        <v>5333400</v>
      </c>
      <c r="F566">
        <v>3555600</v>
      </c>
      <c r="G566" s="1">
        <v>45690</v>
      </c>
      <c r="H566" s="7">
        <f>Table1[[#This Row],[Profit]]/Table1[[#This Row],[Revenue]] *100</f>
        <v>40</v>
      </c>
    </row>
    <row r="567" spans="1:8" x14ac:dyDescent="0.2">
      <c r="A567" t="s">
        <v>15</v>
      </c>
      <c r="B567" t="s">
        <v>17</v>
      </c>
      <c r="C567">
        <v>1585</v>
      </c>
      <c r="D567" s="8">
        <v>23775000</v>
      </c>
      <c r="E567">
        <v>17435000</v>
      </c>
      <c r="F567">
        <v>6340000</v>
      </c>
      <c r="G567" s="1">
        <v>45369</v>
      </c>
      <c r="H567" s="7">
        <f>Table1[[#This Row],[Profit]]/Table1[[#This Row],[Revenue]] *100</f>
        <v>26.666666666666668</v>
      </c>
    </row>
    <row r="568" spans="1:8" x14ac:dyDescent="0.2">
      <c r="A568" t="s">
        <v>15</v>
      </c>
      <c r="B568" t="s">
        <v>8</v>
      </c>
      <c r="C568">
        <v>2675</v>
      </c>
      <c r="D568" s="8">
        <v>8025000</v>
      </c>
      <c r="E568">
        <v>4815000</v>
      </c>
      <c r="F568">
        <v>3210000</v>
      </c>
      <c r="G568" s="1">
        <v>45415</v>
      </c>
      <c r="H568" s="7">
        <f>Table1[[#This Row],[Profit]]/Table1[[#This Row],[Revenue]] *100</f>
        <v>40</v>
      </c>
    </row>
    <row r="569" spans="1:8" x14ac:dyDescent="0.2">
      <c r="A569" t="s">
        <v>16</v>
      </c>
      <c r="B569" t="s">
        <v>17</v>
      </c>
      <c r="C569">
        <v>2432</v>
      </c>
      <c r="D569" s="8">
        <v>36480000</v>
      </c>
      <c r="E569">
        <v>26752000</v>
      </c>
      <c r="F569">
        <v>9728000</v>
      </c>
      <c r="G569" s="1">
        <v>45366</v>
      </c>
      <c r="H569" s="7">
        <f>Table1[[#This Row],[Profit]]/Table1[[#This Row],[Revenue]] *100</f>
        <v>26.666666666666668</v>
      </c>
    </row>
    <row r="570" spans="1:8" x14ac:dyDescent="0.2">
      <c r="A570" t="s">
        <v>7</v>
      </c>
      <c r="B570" t="s">
        <v>8</v>
      </c>
      <c r="C570">
        <v>1491</v>
      </c>
      <c r="D570" s="8">
        <v>4473000</v>
      </c>
      <c r="E570">
        <v>2683800</v>
      </c>
      <c r="F570">
        <v>1789200</v>
      </c>
      <c r="G570" s="1">
        <v>45428</v>
      </c>
      <c r="H570" s="7">
        <f>Table1[[#This Row],[Profit]]/Table1[[#This Row],[Revenue]] *100</f>
        <v>40</v>
      </c>
    </row>
    <row r="571" spans="1:8" x14ac:dyDescent="0.2">
      <c r="A571" t="s">
        <v>16</v>
      </c>
      <c r="B571" t="s">
        <v>23</v>
      </c>
      <c r="C571">
        <v>1847</v>
      </c>
      <c r="D571" s="8">
        <v>9235000</v>
      </c>
      <c r="E571">
        <v>7757400</v>
      </c>
      <c r="F571">
        <v>1477600</v>
      </c>
      <c r="G571" s="1">
        <v>45893</v>
      </c>
      <c r="H571" s="7">
        <f>Table1[[#This Row],[Profit]]/Table1[[#This Row],[Revenue]] *100</f>
        <v>16</v>
      </c>
    </row>
    <row r="572" spans="1:8" x14ac:dyDescent="0.2">
      <c r="A572" t="s">
        <v>20</v>
      </c>
      <c r="B572" t="s">
        <v>10</v>
      </c>
      <c r="C572">
        <v>344</v>
      </c>
      <c r="D572" s="8">
        <v>1204000</v>
      </c>
      <c r="E572">
        <v>894400</v>
      </c>
      <c r="F572">
        <v>309600</v>
      </c>
      <c r="G572" s="1">
        <v>46128</v>
      </c>
      <c r="H572" s="7">
        <f>Table1[[#This Row],[Profit]]/Table1[[#This Row],[Revenue]] *100</f>
        <v>25.714285714285712</v>
      </c>
    </row>
    <row r="573" spans="1:8" x14ac:dyDescent="0.2">
      <c r="A573" t="s">
        <v>15</v>
      </c>
      <c r="B573" t="s">
        <v>19</v>
      </c>
      <c r="C573">
        <v>804</v>
      </c>
      <c r="D573" s="8">
        <v>36180000</v>
      </c>
      <c r="E573">
        <v>30552000</v>
      </c>
      <c r="F573">
        <v>5628000</v>
      </c>
      <c r="G573" s="1">
        <v>45791</v>
      </c>
      <c r="H573" s="7">
        <f>Table1[[#This Row],[Profit]]/Table1[[#This Row],[Revenue]] *100</f>
        <v>15.555555555555555</v>
      </c>
    </row>
    <row r="574" spans="1:8" x14ac:dyDescent="0.2">
      <c r="A574" t="s">
        <v>9</v>
      </c>
      <c r="B574" t="s">
        <v>8</v>
      </c>
      <c r="C574">
        <v>1444</v>
      </c>
      <c r="D574" s="8">
        <v>4332000</v>
      </c>
      <c r="E574">
        <v>2599200</v>
      </c>
      <c r="F574">
        <v>1732800</v>
      </c>
      <c r="G574" s="1">
        <v>45429</v>
      </c>
      <c r="H574" s="7">
        <f>Table1[[#This Row],[Profit]]/Table1[[#This Row],[Revenue]] *100</f>
        <v>40</v>
      </c>
    </row>
    <row r="575" spans="1:8" x14ac:dyDescent="0.2">
      <c r="A575" t="s">
        <v>11</v>
      </c>
      <c r="B575" t="s">
        <v>23</v>
      </c>
      <c r="C575">
        <v>235</v>
      </c>
      <c r="D575" s="8">
        <v>1175000</v>
      </c>
      <c r="E575">
        <v>987000</v>
      </c>
      <c r="F575">
        <v>188000</v>
      </c>
      <c r="G575" s="1">
        <v>45341</v>
      </c>
      <c r="H575" s="7">
        <f>Table1[[#This Row],[Profit]]/Table1[[#This Row],[Revenue]] *100</f>
        <v>16</v>
      </c>
    </row>
    <row r="576" spans="1:8" x14ac:dyDescent="0.2">
      <c r="A576" t="s">
        <v>22</v>
      </c>
      <c r="B576" t="s">
        <v>17</v>
      </c>
      <c r="C576">
        <v>1319</v>
      </c>
      <c r="D576" s="8">
        <v>19785000</v>
      </c>
      <c r="E576">
        <v>14509000</v>
      </c>
      <c r="F576">
        <v>5276000</v>
      </c>
      <c r="G576" s="1">
        <v>46264</v>
      </c>
      <c r="H576" s="7">
        <f>Table1[[#This Row],[Profit]]/Table1[[#This Row],[Revenue]] *100</f>
        <v>26.666666666666668</v>
      </c>
    </row>
    <row r="577" spans="1:8" x14ac:dyDescent="0.2">
      <c r="A577" t="s">
        <v>7</v>
      </c>
      <c r="B577" t="s">
        <v>17</v>
      </c>
      <c r="C577">
        <v>686</v>
      </c>
      <c r="D577" s="8">
        <v>10290000</v>
      </c>
      <c r="E577">
        <v>7546000</v>
      </c>
      <c r="F577">
        <v>2744000</v>
      </c>
      <c r="G577" s="1">
        <v>45545</v>
      </c>
      <c r="H577" s="7">
        <f>Table1[[#This Row],[Profit]]/Table1[[#This Row],[Revenue]] *100</f>
        <v>26.666666666666668</v>
      </c>
    </row>
    <row r="578" spans="1:8" x14ac:dyDescent="0.2">
      <c r="A578" t="s">
        <v>21</v>
      </c>
      <c r="B578" t="s">
        <v>19</v>
      </c>
      <c r="C578">
        <v>1341</v>
      </c>
      <c r="D578" s="8">
        <v>60345000</v>
      </c>
      <c r="E578">
        <v>50958000</v>
      </c>
      <c r="F578">
        <v>9387000</v>
      </c>
      <c r="G578" s="1">
        <v>46001</v>
      </c>
      <c r="H578" s="7">
        <f>Table1[[#This Row],[Profit]]/Table1[[#This Row],[Revenue]] *100</f>
        <v>15.555555555555555</v>
      </c>
    </row>
    <row r="579" spans="1:8" x14ac:dyDescent="0.2">
      <c r="A579" t="s">
        <v>16</v>
      </c>
      <c r="B579" t="s">
        <v>12</v>
      </c>
      <c r="C579">
        <v>579</v>
      </c>
      <c r="D579" s="8">
        <v>694800</v>
      </c>
      <c r="E579">
        <v>492150</v>
      </c>
      <c r="F579">
        <v>202650</v>
      </c>
      <c r="G579" s="1">
        <v>45854</v>
      </c>
      <c r="H579" s="7">
        <f>Table1[[#This Row],[Profit]]/Table1[[#This Row],[Revenue]] *100</f>
        <v>29.166666666666668</v>
      </c>
    </row>
    <row r="580" spans="1:8" x14ac:dyDescent="0.2">
      <c r="A580" t="s">
        <v>22</v>
      </c>
      <c r="B580" t="s">
        <v>8</v>
      </c>
      <c r="C580">
        <v>2118</v>
      </c>
      <c r="D580" s="8">
        <v>6354000</v>
      </c>
      <c r="E580">
        <v>3812400</v>
      </c>
      <c r="F580">
        <v>2541600</v>
      </c>
      <c r="G580" s="1">
        <v>46048</v>
      </c>
      <c r="H580" s="7">
        <f>Table1[[#This Row],[Profit]]/Table1[[#This Row],[Revenue]] *100</f>
        <v>40</v>
      </c>
    </row>
    <row r="581" spans="1:8" x14ac:dyDescent="0.2">
      <c r="A581" t="s">
        <v>21</v>
      </c>
      <c r="B581" t="s">
        <v>14</v>
      </c>
      <c r="C581">
        <v>2964</v>
      </c>
      <c r="D581" s="8">
        <v>3556800</v>
      </c>
      <c r="E581">
        <v>2371200</v>
      </c>
      <c r="F581">
        <v>1185600</v>
      </c>
      <c r="G581" s="1">
        <v>45838</v>
      </c>
      <c r="H581" s="7">
        <f>Table1[[#This Row],[Profit]]/Table1[[#This Row],[Revenue]] *100</f>
        <v>33.333333333333329</v>
      </c>
    </row>
    <row r="582" spans="1:8" x14ac:dyDescent="0.2">
      <c r="A582" t="s">
        <v>22</v>
      </c>
      <c r="B582" t="s">
        <v>17</v>
      </c>
      <c r="C582">
        <v>843</v>
      </c>
      <c r="D582" s="8">
        <v>12645000</v>
      </c>
      <c r="E582">
        <v>9273000</v>
      </c>
      <c r="F582">
        <v>3372000</v>
      </c>
      <c r="G582" s="1">
        <v>46213</v>
      </c>
      <c r="H582" s="7">
        <f>Table1[[#This Row],[Profit]]/Table1[[#This Row],[Revenue]] *100</f>
        <v>26.666666666666668</v>
      </c>
    </row>
    <row r="583" spans="1:8" x14ac:dyDescent="0.2">
      <c r="A583" t="s">
        <v>11</v>
      </c>
      <c r="B583" t="s">
        <v>10</v>
      </c>
      <c r="C583">
        <v>2197</v>
      </c>
      <c r="D583" s="8">
        <v>7689500</v>
      </c>
      <c r="E583">
        <v>5712200</v>
      </c>
      <c r="F583">
        <v>1977300</v>
      </c>
      <c r="G583" s="1">
        <v>45872</v>
      </c>
      <c r="H583" s="7">
        <f>Table1[[#This Row],[Profit]]/Table1[[#This Row],[Revenue]] *100</f>
        <v>25.714285714285712</v>
      </c>
    </row>
    <row r="584" spans="1:8" x14ac:dyDescent="0.2">
      <c r="A584" t="s">
        <v>21</v>
      </c>
      <c r="B584" t="s">
        <v>10</v>
      </c>
      <c r="C584">
        <v>2849</v>
      </c>
      <c r="D584" s="8">
        <v>9971500</v>
      </c>
      <c r="E584">
        <v>7407400</v>
      </c>
      <c r="F584">
        <v>2564100</v>
      </c>
      <c r="G584" s="1">
        <v>45340</v>
      </c>
      <c r="H584" s="7">
        <f>Table1[[#This Row],[Profit]]/Table1[[#This Row],[Revenue]] *100</f>
        <v>25.714285714285712</v>
      </c>
    </row>
    <row r="585" spans="1:8" x14ac:dyDescent="0.2">
      <c r="A585" t="s">
        <v>18</v>
      </c>
      <c r="B585" t="s">
        <v>17</v>
      </c>
      <c r="C585">
        <v>527</v>
      </c>
      <c r="D585" s="8">
        <v>7905000</v>
      </c>
      <c r="E585">
        <v>5797000</v>
      </c>
      <c r="F585">
        <v>2108000</v>
      </c>
      <c r="G585" s="1">
        <v>46208</v>
      </c>
      <c r="H585" s="7">
        <f>Table1[[#This Row],[Profit]]/Table1[[#This Row],[Revenue]] *100</f>
        <v>26.666666666666668</v>
      </c>
    </row>
    <row r="586" spans="1:8" x14ac:dyDescent="0.2">
      <c r="A586" t="s">
        <v>13</v>
      </c>
      <c r="B586" t="s">
        <v>12</v>
      </c>
      <c r="C586">
        <v>1672</v>
      </c>
      <c r="D586" s="8">
        <v>2006400</v>
      </c>
      <c r="E586">
        <v>1421200</v>
      </c>
      <c r="F586">
        <v>585200</v>
      </c>
      <c r="G586" s="1">
        <v>45995</v>
      </c>
      <c r="H586" s="7">
        <f>Table1[[#This Row],[Profit]]/Table1[[#This Row],[Revenue]] *100</f>
        <v>29.166666666666668</v>
      </c>
    </row>
    <row r="587" spans="1:8" x14ac:dyDescent="0.2">
      <c r="A587" t="s">
        <v>18</v>
      </c>
      <c r="B587" t="s">
        <v>12</v>
      </c>
      <c r="C587">
        <v>989</v>
      </c>
      <c r="D587" s="8">
        <v>1186800</v>
      </c>
      <c r="E587">
        <v>840650</v>
      </c>
      <c r="F587">
        <v>346150</v>
      </c>
      <c r="G587" s="1">
        <v>45552</v>
      </c>
      <c r="H587" s="7">
        <f>Table1[[#This Row],[Profit]]/Table1[[#This Row],[Revenue]] *100</f>
        <v>29.166666666666668</v>
      </c>
    </row>
    <row r="588" spans="1:8" x14ac:dyDescent="0.2">
      <c r="A588" t="s">
        <v>15</v>
      </c>
      <c r="B588" t="s">
        <v>23</v>
      </c>
      <c r="C588">
        <v>575</v>
      </c>
      <c r="D588" s="8">
        <v>2875000</v>
      </c>
      <c r="E588">
        <v>2415000</v>
      </c>
      <c r="F588">
        <v>460000</v>
      </c>
      <c r="G588" s="1">
        <v>45647</v>
      </c>
      <c r="H588" s="7">
        <f>Table1[[#This Row],[Profit]]/Table1[[#This Row],[Revenue]] *100</f>
        <v>16</v>
      </c>
    </row>
    <row r="589" spans="1:8" x14ac:dyDescent="0.2">
      <c r="A589" t="s">
        <v>13</v>
      </c>
      <c r="B589" t="s">
        <v>10</v>
      </c>
      <c r="C589">
        <v>2431</v>
      </c>
      <c r="D589" s="8">
        <v>8508500</v>
      </c>
      <c r="E589">
        <v>6320600</v>
      </c>
      <c r="F589">
        <v>2187900</v>
      </c>
      <c r="G589" s="1">
        <v>45929</v>
      </c>
      <c r="H589" s="7">
        <f>Table1[[#This Row],[Profit]]/Table1[[#This Row],[Revenue]] *100</f>
        <v>25.714285714285712</v>
      </c>
    </row>
    <row r="590" spans="1:8" x14ac:dyDescent="0.2">
      <c r="A590" t="s">
        <v>18</v>
      </c>
      <c r="B590" t="s">
        <v>23</v>
      </c>
      <c r="C590">
        <v>51</v>
      </c>
      <c r="D590" s="8">
        <v>255000</v>
      </c>
      <c r="E590">
        <v>214200</v>
      </c>
      <c r="F590">
        <v>40800</v>
      </c>
      <c r="G590" s="1">
        <v>46034</v>
      </c>
      <c r="H590" s="7">
        <f>Table1[[#This Row],[Profit]]/Table1[[#This Row],[Revenue]] *100</f>
        <v>16</v>
      </c>
    </row>
    <row r="591" spans="1:8" x14ac:dyDescent="0.2">
      <c r="A591" t="s">
        <v>13</v>
      </c>
      <c r="B591" t="s">
        <v>10</v>
      </c>
      <c r="C591">
        <v>424</v>
      </c>
      <c r="D591" s="8">
        <v>1484000</v>
      </c>
      <c r="E591">
        <v>1102400</v>
      </c>
      <c r="F591">
        <v>381600</v>
      </c>
      <c r="G591" s="1">
        <v>46301</v>
      </c>
      <c r="H591" s="7">
        <f>Table1[[#This Row],[Profit]]/Table1[[#This Row],[Revenue]] *100</f>
        <v>25.714285714285712</v>
      </c>
    </row>
    <row r="592" spans="1:8" x14ac:dyDescent="0.2">
      <c r="A592" t="s">
        <v>13</v>
      </c>
      <c r="B592" t="s">
        <v>8</v>
      </c>
      <c r="C592">
        <v>2390</v>
      </c>
      <c r="D592" s="8">
        <v>7170000</v>
      </c>
      <c r="E592">
        <v>4302000</v>
      </c>
      <c r="F592">
        <v>2868000</v>
      </c>
      <c r="G592" s="1">
        <v>46222</v>
      </c>
      <c r="H592" s="7">
        <f>Table1[[#This Row],[Profit]]/Table1[[#This Row],[Revenue]] *100</f>
        <v>40</v>
      </c>
    </row>
    <row r="593" spans="1:8" x14ac:dyDescent="0.2">
      <c r="A593" t="s">
        <v>9</v>
      </c>
      <c r="B593" t="s">
        <v>8</v>
      </c>
      <c r="C593">
        <v>2934</v>
      </c>
      <c r="D593" s="8">
        <v>8802000</v>
      </c>
      <c r="E593">
        <v>5281200</v>
      </c>
      <c r="F593">
        <v>3520800</v>
      </c>
      <c r="G593" s="1">
        <v>45932</v>
      </c>
      <c r="H593" s="7">
        <f>Table1[[#This Row],[Profit]]/Table1[[#This Row],[Revenue]] *100</f>
        <v>40</v>
      </c>
    </row>
    <row r="594" spans="1:8" x14ac:dyDescent="0.2">
      <c r="A594" t="s">
        <v>16</v>
      </c>
      <c r="B594" t="s">
        <v>14</v>
      </c>
      <c r="C594">
        <v>602</v>
      </c>
      <c r="D594" s="8">
        <v>722400</v>
      </c>
      <c r="E594">
        <v>481600</v>
      </c>
      <c r="F594">
        <v>240800</v>
      </c>
      <c r="G594" s="1">
        <v>46083</v>
      </c>
      <c r="H594" s="7">
        <f>Table1[[#This Row],[Profit]]/Table1[[#This Row],[Revenue]] *100</f>
        <v>33.333333333333329</v>
      </c>
    </row>
    <row r="595" spans="1:8" x14ac:dyDescent="0.2">
      <c r="A595" t="s">
        <v>16</v>
      </c>
      <c r="B595" t="s">
        <v>8</v>
      </c>
      <c r="C595">
        <v>2415</v>
      </c>
      <c r="D595" s="8">
        <v>7245000</v>
      </c>
      <c r="E595">
        <v>4347000</v>
      </c>
      <c r="F595">
        <v>2898000</v>
      </c>
      <c r="G595" s="1">
        <v>45903</v>
      </c>
      <c r="H595" s="7">
        <f>Table1[[#This Row],[Profit]]/Table1[[#This Row],[Revenue]] *100</f>
        <v>40</v>
      </c>
    </row>
    <row r="596" spans="1:8" x14ac:dyDescent="0.2">
      <c r="A596" t="s">
        <v>9</v>
      </c>
      <c r="B596" t="s">
        <v>14</v>
      </c>
      <c r="C596">
        <v>1575</v>
      </c>
      <c r="D596" s="8">
        <v>1890000</v>
      </c>
      <c r="E596">
        <v>1260000</v>
      </c>
      <c r="F596">
        <v>630000</v>
      </c>
      <c r="G596" s="1">
        <v>46100</v>
      </c>
      <c r="H596" s="7">
        <f>Table1[[#This Row],[Profit]]/Table1[[#This Row],[Revenue]] *100</f>
        <v>33.333333333333329</v>
      </c>
    </row>
    <row r="597" spans="1:8" x14ac:dyDescent="0.2">
      <c r="A597" t="s">
        <v>22</v>
      </c>
      <c r="B597" t="s">
        <v>8</v>
      </c>
      <c r="C597">
        <v>1901</v>
      </c>
      <c r="D597" s="8">
        <v>5703000</v>
      </c>
      <c r="E597">
        <v>3421800</v>
      </c>
      <c r="F597">
        <v>2281200</v>
      </c>
      <c r="G597" s="1">
        <v>45977</v>
      </c>
      <c r="H597" s="7">
        <f>Table1[[#This Row],[Profit]]/Table1[[#This Row],[Revenue]] *100</f>
        <v>40</v>
      </c>
    </row>
    <row r="598" spans="1:8" x14ac:dyDescent="0.2">
      <c r="A598" t="s">
        <v>20</v>
      </c>
      <c r="B598" t="s">
        <v>19</v>
      </c>
      <c r="C598">
        <v>430</v>
      </c>
      <c r="D598" s="8">
        <v>19350000</v>
      </c>
      <c r="E598">
        <v>16340000</v>
      </c>
      <c r="F598">
        <v>3010000</v>
      </c>
      <c r="G598" s="1">
        <v>45479</v>
      </c>
      <c r="H598" s="7">
        <f>Table1[[#This Row],[Profit]]/Table1[[#This Row],[Revenue]] *100</f>
        <v>15.555555555555555</v>
      </c>
    </row>
    <row r="599" spans="1:8" x14ac:dyDescent="0.2">
      <c r="A599" t="s">
        <v>22</v>
      </c>
      <c r="B599" t="s">
        <v>8</v>
      </c>
      <c r="C599">
        <v>1696</v>
      </c>
      <c r="D599" s="8">
        <v>5088000</v>
      </c>
      <c r="E599">
        <v>3052800</v>
      </c>
      <c r="F599">
        <v>2035200</v>
      </c>
      <c r="G599" s="1">
        <v>46276</v>
      </c>
      <c r="H599" s="7">
        <f>Table1[[#This Row],[Profit]]/Table1[[#This Row],[Revenue]] *100</f>
        <v>40</v>
      </c>
    </row>
    <row r="600" spans="1:8" x14ac:dyDescent="0.2">
      <c r="A600" t="s">
        <v>21</v>
      </c>
      <c r="B600" t="s">
        <v>23</v>
      </c>
      <c r="C600">
        <v>63</v>
      </c>
      <c r="D600" s="8">
        <v>315000</v>
      </c>
      <c r="E600">
        <v>264600</v>
      </c>
      <c r="F600">
        <v>50400</v>
      </c>
      <c r="G600" s="1">
        <v>45839</v>
      </c>
      <c r="H600" s="7">
        <f>Table1[[#This Row],[Profit]]/Table1[[#This Row],[Revenue]] *100</f>
        <v>16</v>
      </c>
    </row>
    <row r="601" spans="1:8" x14ac:dyDescent="0.2">
      <c r="A601" t="s">
        <v>21</v>
      </c>
      <c r="B601" t="s">
        <v>17</v>
      </c>
      <c r="C601">
        <v>553</v>
      </c>
      <c r="D601" s="8">
        <v>8295000</v>
      </c>
      <c r="E601">
        <v>6083000</v>
      </c>
      <c r="F601">
        <v>2212000</v>
      </c>
      <c r="G601" s="1">
        <v>46016</v>
      </c>
      <c r="H601" s="7">
        <f>Table1[[#This Row],[Profit]]/Table1[[#This Row],[Revenue]] *100</f>
        <v>26.666666666666668</v>
      </c>
    </row>
    <row r="602" spans="1:8" x14ac:dyDescent="0.2">
      <c r="A602" t="s">
        <v>13</v>
      </c>
      <c r="B602" t="s">
        <v>23</v>
      </c>
      <c r="C602">
        <v>2328</v>
      </c>
      <c r="D602" s="8">
        <v>11640000</v>
      </c>
      <c r="E602">
        <v>9777600</v>
      </c>
      <c r="F602">
        <v>1862400</v>
      </c>
      <c r="G602" s="1">
        <v>46217</v>
      </c>
      <c r="H602" s="7">
        <f>Table1[[#This Row],[Profit]]/Table1[[#This Row],[Revenue]] *100</f>
        <v>16</v>
      </c>
    </row>
    <row r="603" spans="1:8" x14ac:dyDescent="0.2">
      <c r="A603" t="s">
        <v>18</v>
      </c>
      <c r="B603" t="s">
        <v>17</v>
      </c>
      <c r="C603">
        <v>2058</v>
      </c>
      <c r="D603" s="8">
        <v>30870000</v>
      </c>
      <c r="E603">
        <v>22638000</v>
      </c>
      <c r="F603">
        <v>8232000</v>
      </c>
      <c r="G603" s="1">
        <v>46167</v>
      </c>
      <c r="H603" s="7">
        <f>Table1[[#This Row],[Profit]]/Table1[[#This Row],[Revenue]] *100</f>
        <v>26.666666666666668</v>
      </c>
    </row>
    <row r="604" spans="1:8" x14ac:dyDescent="0.2">
      <c r="A604" t="s">
        <v>18</v>
      </c>
      <c r="B604" t="s">
        <v>12</v>
      </c>
      <c r="C604">
        <v>179</v>
      </c>
      <c r="D604" s="8">
        <v>214800</v>
      </c>
      <c r="E604">
        <v>152150</v>
      </c>
      <c r="F604">
        <v>62650</v>
      </c>
      <c r="G604" s="1">
        <v>45909</v>
      </c>
      <c r="H604" s="7">
        <f>Table1[[#This Row],[Profit]]/Table1[[#This Row],[Revenue]] *100</f>
        <v>29.166666666666668</v>
      </c>
    </row>
    <row r="605" spans="1:8" x14ac:dyDescent="0.2">
      <c r="A605" t="s">
        <v>16</v>
      </c>
      <c r="B605" t="s">
        <v>23</v>
      </c>
      <c r="C605">
        <v>887</v>
      </c>
      <c r="D605" s="8">
        <v>4435000</v>
      </c>
      <c r="E605">
        <v>3725400</v>
      </c>
      <c r="F605">
        <v>709600</v>
      </c>
      <c r="G605" s="1">
        <v>45705</v>
      </c>
      <c r="H605" s="7">
        <f>Table1[[#This Row],[Profit]]/Table1[[#This Row],[Revenue]] *100</f>
        <v>16</v>
      </c>
    </row>
    <row r="606" spans="1:8" x14ac:dyDescent="0.2">
      <c r="A606" t="s">
        <v>7</v>
      </c>
      <c r="B606" t="s">
        <v>12</v>
      </c>
      <c r="C606">
        <v>2988</v>
      </c>
      <c r="D606" s="8">
        <v>3585600</v>
      </c>
      <c r="E606">
        <v>2539800</v>
      </c>
      <c r="F606">
        <v>1045800</v>
      </c>
      <c r="G606" s="1">
        <v>46194</v>
      </c>
      <c r="H606" s="7">
        <f>Table1[[#This Row],[Profit]]/Table1[[#This Row],[Revenue]] *100</f>
        <v>29.166666666666668</v>
      </c>
    </row>
    <row r="607" spans="1:8" x14ac:dyDescent="0.2">
      <c r="A607" t="s">
        <v>22</v>
      </c>
      <c r="B607" t="s">
        <v>14</v>
      </c>
      <c r="C607">
        <v>2090</v>
      </c>
      <c r="D607" s="8">
        <v>2508000</v>
      </c>
      <c r="E607">
        <v>1672000</v>
      </c>
      <c r="F607">
        <v>836000</v>
      </c>
      <c r="G607" s="1">
        <v>45454</v>
      </c>
      <c r="H607" s="7">
        <f>Table1[[#This Row],[Profit]]/Table1[[#This Row],[Revenue]] *100</f>
        <v>33.333333333333329</v>
      </c>
    </row>
    <row r="608" spans="1:8" x14ac:dyDescent="0.2">
      <c r="A608" t="s">
        <v>15</v>
      </c>
      <c r="B608" t="s">
        <v>14</v>
      </c>
      <c r="C608">
        <v>77</v>
      </c>
      <c r="D608" s="8">
        <v>92400</v>
      </c>
      <c r="E608">
        <v>61600</v>
      </c>
      <c r="F608">
        <v>30800</v>
      </c>
      <c r="G608" s="1">
        <v>45561</v>
      </c>
      <c r="H608" s="7">
        <f>Table1[[#This Row],[Profit]]/Table1[[#This Row],[Revenue]] *100</f>
        <v>33.333333333333329</v>
      </c>
    </row>
    <row r="609" spans="1:8" x14ac:dyDescent="0.2">
      <c r="A609" t="s">
        <v>11</v>
      </c>
      <c r="B609" t="s">
        <v>19</v>
      </c>
      <c r="C609">
        <v>2163</v>
      </c>
      <c r="D609" s="8">
        <v>97335000</v>
      </c>
      <c r="E609">
        <v>82194000</v>
      </c>
      <c r="F609">
        <v>15141000</v>
      </c>
      <c r="G609" s="1">
        <v>45923</v>
      </c>
      <c r="H609" s="7">
        <f>Table1[[#This Row],[Profit]]/Table1[[#This Row],[Revenue]] *100</f>
        <v>15.555555555555555</v>
      </c>
    </row>
    <row r="610" spans="1:8" x14ac:dyDescent="0.2">
      <c r="A610" t="s">
        <v>18</v>
      </c>
      <c r="B610" t="s">
        <v>8</v>
      </c>
      <c r="C610">
        <v>1302</v>
      </c>
      <c r="D610" s="8">
        <v>3906000</v>
      </c>
      <c r="E610">
        <v>2343600</v>
      </c>
      <c r="F610">
        <v>1562400</v>
      </c>
      <c r="G610" s="1">
        <v>46197</v>
      </c>
      <c r="H610" s="7">
        <f>Table1[[#This Row],[Profit]]/Table1[[#This Row],[Revenue]] *100</f>
        <v>40</v>
      </c>
    </row>
    <row r="611" spans="1:8" x14ac:dyDescent="0.2">
      <c r="A611" t="s">
        <v>11</v>
      </c>
      <c r="B611" t="s">
        <v>23</v>
      </c>
      <c r="C611">
        <v>310</v>
      </c>
      <c r="D611" s="8">
        <v>1550000</v>
      </c>
      <c r="E611">
        <v>1302000</v>
      </c>
      <c r="F611">
        <v>248000</v>
      </c>
      <c r="G611" s="1">
        <v>45496</v>
      </c>
      <c r="H611" s="7">
        <f>Table1[[#This Row],[Profit]]/Table1[[#This Row],[Revenue]] *100</f>
        <v>16</v>
      </c>
    </row>
    <row r="612" spans="1:8" x14ac:dyDescent="0.2">
      <c r="A612" t="s">
        <v>13</v>
      </c>
      <c r="B612" t="s">
        <v>12</v>
      </c>
      <c r="C612">
        <v>2096</v>
      </c>
      <c r="D612" s="8">
        <v>2515200</v>
      </c>
      <c r="E612">
        <v>1781600</v>
      </c>
      <c r="F612">
        <v>733600</v>
      </c>
      <c r="G612" s="1">
        <v>45873</v>
      </c>
      <c r="H612" s="7">
        <f>Table1[[#This Row],[Profit]]/Table1[[#This Row],[Revenue]] *100</f>
        <v>29.166666666666668</v>
      </c>
    </row>
    <row r="613" spans="1:8" x14ac:dyDescent="0.2">
      <c r="A613" t="s">
        <v>11</v>
      </c>
      <c r="B613" t="s">
        <v>17</v>
      </c>
      <c r="C613">
        <v>1522</v>
      </c>
      <c r="D613" s="8">
        <v>22830000</v>
      </c>
      <c r="E613">
        <v>16742000</v>
      </c>
      <c r="F613">
        <v>6088000</v>
      </c>
      <c r="G613" s="1">
        <v>46132</v>
      </c>
      <c r="H613" s="7">
        <f>Table1[[#This Row],[Profit]]/Table1[[#This Row],[Revenue]] *100</f>
        <v>26.666666666666668</v>
      </c>
    </row>
    <row r="614" spans="1:8" x14ac:dyDescent="0.2">
      <c r="A614" t="s">
        <v>15</v>
      </c>
      <c r="B614" t="s">
        <v>14</v>
      </c>
      <c r="C614">
        <v>1497</v>
      </c>
      <c r="D614" s="8">
        <v>1796400</v>
      </c>
      <c r="E614">
        <v>1197600</v>
      </c>
      <c r="F614">
        <v>598800</v>
      </c>
      <c r="G614" s="1">
        <v>45887</v>
      </c>
      <c r="H614" s="7">
        <f>Table1[[#This Row],[Profit]]/Table1[[#This Row],[Revenue]] *100</f>
        <v>33.333333333333329</v>
      </c>
    </row>
    <row r="615" spans="1:8" x14ac:dyDescent="0.2">
      <c r="A615" t="s">
        <v>9</v>
      </c>
      <c r="B615" t="s">
        <v>8</v>
      </c>
      <c r="C615">
        <v>509</v>
      </c>
      <c r="D615" s="8">
        <v>1527000</v>
      </c>
      <c r="E615">
        <v>916200</v>
      </c>
      <c r="F615">
        <v>610800</v>
      </c>
      <c r="G615" s="1">
        <v>45541</v>
      </c>
      <c r="H615" s="7">
        <f>Table1[[#This Row],[Profit]]/Table1[[#This Row],[Revenue]] *100</f>
        <v>40</v>
      </c>
    </row>
    <row r="616" spans="1:8" x14ac:dyDescent="0.2">
      <c r="A616" t="s">
        <v>15</v>
      </c>
      <c r="B616" t="s">
        <v>14</v>
      </c>
      <c r="C616">
        <v>350</v>
      </c>
      <c r="D616" s="8">
        <v>420000</v>
      </c>
      <c r="E616">
        <v>280000</v>
      </c>
      <c r="F616">
        <v>140000</v>
      </c>
      <c r="G616" s="1">
        <v>46166</v>
      </c>
      <c r="H616" s="7">
        <f>Table1[[#This Row],[Profit]]/Table1[[#This Row],[Revenue]] *100</f>
        <v>33.333333333333329</v>
      </c>
    </row>
    <row r="617" spans="1:8" x14ac:dyDescent="0.2">
      <c r="A617" t="s">
        <v>11</v>
      </c>
      <c r="B617" t="s">
        <v>17</v>
      </c>
      <c r="C617">
        <v>2384</v>
      </c>
      <c r="D617" s="8">
        <v>35760000</v>
      </c>
      <c r="E617">
        <v>26224000</v>
      </c>
      <c r="F617">
        <v>9536000</v>
      </c>
      <c r="G617" s="1">
        <v>45487</v>
      </c>
      <c r="H617" s="7">
        <f>Table1[[#This Row],[Profit]]/Table1[[#This Row],[Revenue]] *100</f>
        <v>26.666666666666668</v>
      </c>
    </row>
    <row r="618" spans="1:8" x14ac:dyDescent="0.2">
      <c r="A618" t="s">
        <v>15</v>
      </c>
      <c r="B618" t="s">
        <v>8</v>
      </c>
      <c r="C618">
        <v>679</v>
      </c>
      <c r="D618" s="8">
        <v>2037000</v>
      </c>
      <c r="E618">
        <v>1222200</v>
      </c>
      <c r="F618">
        <v>814800</v>
      </c>
      <c r="G618" s="1">
        <v>45981</v>
      </c>
      <c r="H618" s="7">
        <f>Table1[[#This Row],[Profit]]/Table1[[#This Row],[Revenue]] *100</f>
        <v>40</v>
      </c>
    </row>
    <row r="619" spans="1:8" x14ac:dyDescent="0.2">
      <c r="A619" t="s">
        <v>20</v>
      </c>
      <c r="B619" t="s">
        <v>8</v>
      </c>
      <c r="C619">
        <v>319</v>
      </c>
      <c r="D619" s="8">
        <v>957000</v>
      </c>
      <c r="E619">
        <v>574200</v>
      </c>
      <c r="F619">
        <v>382800</v>
      </c>
      <c r="G619" s="1">
        <v>46385</v>
      </c>
      <c r="H619" s="7">
        <f>Table1[[#This Row],[Profit]]/Table1[[#This Row],[Revenue]] *100</f>
        <v>40</v>
      </c>
    </row>
    <row r="620" spans="1:8" x14ac:dyDescent="0.2">
      <c r="A620" t="s">
        <v>13</v>
      </c>
      <c r="B620" t="s">
        <v>12</v>
      </c>
      <c r="C620">
        <v>2689</v>
      </c>
      <c r="D620" s="8">
        <v>3226800</v>
      </c>
      <c r="E620">
        <v>2285650</v>
      </c>
      <c r="F620">
        <v>941150</v>
      </c>
      <c r="G620" s="1">
        <v>45930</v>
      </c>
      <c r="H620" s="7">
        <f>Table1[[#This Row],[Profit]]/Table1[[#This Row],[Revenue]] *100</f>
        <v>29.166666666666668</v>
      </c>
    </row>
    <row r="621" spans="1:8" x14ac:dyDescent="0.2">
      <c r="A621" t="s">
        <v>22</v>
      </c>
      <c r="B621" t="s">
        <v>12</v>
      </c>
      <c r="C621">
        <v>2043</v>
      </c>
      <c r="D621" s="8">
        <v>2451600</v>
      </c>
      <c r="E621">
        <v>1736550</v>
      </c>
      <c r="F621">
        <v>715050</v>
      </c>
      <c r="G621" s="1">
        <v>45963</v>
      </c>
      <c r="H621" s="7">
        <f>Table1[[#This Row],[Profit]]/Table1[[#This Row],[Revenue]] *100</f>
        <v>29.166666666666668</v>
      </c>
    </row>
    <row r="622" spans="1:8" x14ac:dyDescent="0.2">
      <c r="A622" t="s">
        <v>9</v>
      </c>
      <c r="B622" t="s">
        <v>23</v>
      </c>
      <c r="C622">
        <v>1678</v>
      </c>
      <c r="D622" s="8">
        <v>8390000</v>
      </c>
      <c r="E622">
        <v>7047600</v>
      </c>
      <c r="F622">
        <v>1342400</v>
      </c>
      <c r="G622" s="1">
        <v>46235</v>
      </c>
      <c r="H622" s="7">
        <f>Table1[[#This Row],[Profit]]/Table1[[#This Row],[Revenue]] *100</f>
        <v>16</v>
      </c>
    </row>
    <row r="623" spans="1:8" x14ac:dyDescent="0.2">
      <c r="A623" t="s">
        <v>18</v>
      </c>
      <c r="B623" t="s">
        <v>23</v>
      </c>
      <c r="C623">
        <v>1851</v>
      </c>
      <c r="D623" s="8">
        <v>9255000</v>
      </c>
      <c r="E623">
        <v>7774200</v>
      </c>
      <c r="F623">
        <v>1480800</v>
      </c>
      <c r="G623" s="1">
        <v>45490</v>
      </c>
      <c r="H623" s="7">
        <f>Table1[[#This Row],[Profit]]/Table1[[#This Row],[Revenue]] *100</f>
        <v>16</v>
      </c>
    </row>
    <row r="624" spans="1:8" x14ac:dyDescent="0.2">
      <c r="A624" t="s">
        <v>21</v>
      </c>
      <c r="B624" t="s">
        <v>10</v>
      </c>
      <c r="C624">
        <v>2941</v>
      </c>
      <c r="D624" s="8">
        <v>10293500</v>
      </c>
      <c r="E624">
        <v>7646600</v>
      </c>
      <c r="F624">
        <v>2646900</v>
      </c>
      <c r="G624" s="1">
        <v>45783</v>
      </c>
      <c r="H624" s="7">
        <f>Table1[[#This Row],[Profit]]/Table1[[#This Row],[Revenue]] *100</f>
        <v>25.714285714285712</v>
      </c>
    </row>
    <row r="625" spans="1:8" x14ac:dyDescent="0.2">
      <c r="A625" t="s">
        <v>22</v>
      </c>
      <c r="B625" t="s">
        <v>10</v>
      </c>
      <c r="C625">
        <v>911</v>
      </c>
      <c r="D625" s="8">
        <v>3188500</v>
      </c>
      <c r="E625">
        <v>2368600</v>
      </c>
      <c r="F625">
        <v>819900</v>
      </c>
      <c r="G625" s="1">
        <v>46187</v>
      </c>
      <c r="H625" s="7">
        <f>Table1[[#This Row],[Profit]]/Table1[[#This Row],[Revenue]] *100</f>
        <v>25.714285714285712</v>
      </c>
    </row>
    <row r="626" spans="1:8" x14ac:dyDescent="0.2">
      <c r="A626" t="s">
        <v>21</v>
      </c>
      <c r="B626" t="s">
        <v>19</v>
      </c>
      <c r="C626">
        <v>1330</v>
      </c>
      <c r="D626" s="8">
        <v>59850000</v>
      </c>
      <c r="E626">
        <v>50540000</v>
      </c>
      <c r="F626">
        <v>9310000</v>
      </c>
      <c r="G626" s="1">
        <v>45433</v>
      </c>
      <c r="H626" s="7">
        <f>Table1[[#This Row],[Profit]]/Table1[[#This Row],[Revenue]] *100</f>
        <v>15.555555555555555</v>
      </c>
    </row>
    <row r="627" spans="1:8" x14ac:dyDescent="0.2">
      <c r="A627" t="s">
        <v>13</v>
      </c>
      <c r="B627" t="s">
        <v>14</v>
      </c>
      <c r="C627">
        <v>2230</v>
      </c>
      <c r="D627" s="8">
        <v>2676000</v>
      </c>
      <c r="E627">
        <v>1784000</v>
      </c>
      <c r="F627">
        <v>892000</v>
      </c>
      <c r="G627" s="1">
        <v>45456</v>
      </c>
      <c r="H627" s="7">
        <f>Table1[[#This Row],[Profit]]/Table1[[#This Row],[Revenue]] *100</f>
        <v>33.333333333333329</v>
      </c>
    </row>
    <row r="628" spans="1:8" x14ac:dyDescent="0.2">
      <c r="A628" t="s">
        <v>9</v>
      </c>
      <c r="B628" t="s">
        <v>23</v>
      </c>
      <c r="C628">
        <v>1849</v>
      </c>
      <c r="D628" s="8">
        <v>9245000</v>
      </c>
      <c r="E628">
        <v>7765800</v>
      </c>
      <c r="F628">
        <v>1479200</v>
      </c>
      <c r="G628" s="1">
        <v>45605</v>
      </c>
      <c r="H628" s="7">
        <f>Table1[[#This Row],[Profit]]/Table1[[#This Row],[Revenue]] *100</f>
        <v>16</v>
      </c>
    </row>
    <row r="629" spans="1:8" x14ac:dyDescent="0.2">
      <c r="A629" t="s">
        <v>16</v>
      </c>
      <c r="B629" t="s">
        <v>12</v>
      </c>
      <c r="C629">
        <v>1756</v>
      </c>
      <c r="D629" s="8">
        <v>2107200</v>
      </c>
      <c r="E629">
        <v>1492600</v>
      </c>
      <c r="F629">
        <v>614600</v>
      </c>
      <c r="G629" s="1">
        <v>45312</v>
      </c>
      <c r="H629" s="7">
        <f>Table1[[#This Row],[Profit]]/Table1[[#This Row],[Revenue]] *100</f>
        <v>29.166666666666668</v>
      </c>
    </row>
    <row r="630" spans="1:8" x14ac:dyDescent="0.2">
      <c r="A630" t="s">
        <v>18</v>
      </c>
      <c r="B630" t="s">
        <v>17</v>
      </c>
      <c r="C630">
        <v>2610</v>
      </c>
      <c r="D630" s="8">
        <v>39150000</v>
      </c>
      <c r="E630">
        <v>28710000</v>
      </c>
      <c r="F630">
        <v>10440000</v>
      </c>
      <c r="G630" s="1">
        <v>46275</v>
      </c>
      <c r="H630" s="7">
        <f>Table1[[#This Row],[Profit]]/Table1[[#This Row],[Revenue]] *100</f>
        <v>26.666666666666668</v>
      </c>
    </row>
    <row r="631" spans="1:8" x14ac:dyDescent="0.2">
      <c r="A631" t="s">
        <v>20</v>
      </c>
      <c r="B631" t="s">
        <v>12</v>
      </c>
      <c r="C631">
        <v>2410</v>
      </c>
      <c r="D631" s="8">
        <v>2892000</v>
      </c>
      <c r="E631">
        <v>2048500</v>
      </c>
      <c r="F631">
        <v>843500</v>
      </c>
      <c r="G631" s="1">
        <v>45596</v>
      </c>
      <c r="H631" s="7">
        <f>Table1[[#This Row],[Profit]]/Table1[[#This Row],[Revenue]] *100</f>
        <v>29.166666666666668</v>
      </c>
    </row>
    <row r="632" spans="1:8" x14ac:dyDescent="0.2">
      <c r="A632" t="s">
        <v>16</v>
      </c>
      <c r="B632" t="s">
        <v>14</v>
      </c>
      <c r="C632">
        <v>625</v>
      </c>
      <c r="D632" s="8">
        <v>750000</v>
      </c>
      <c r="E632">
        <v>500000</v>
      </c>
      <c r="F632">
        <v>250000</v>
      </c>
      <c r="G632" s="1">
        <v>45662</v>
      </c>
      <c r="H632" s="7">
        <f>Table1[[#This Row],[Profit]]/Table1[[#This Row],[Revenue]] *100</f>
        <v>33.333333333333329</v>
      </c>
    </row>
    <row r="633" spans="1:8" x14ac:dyDescent="0.2">
      <c r="A633" t="s">
        <v>13</v>
      </c>
      <c r="B633" t="s">
        <v>10</v>
      </c>
      <c r="C633">
        <v>2983</v>
      </c>
      <c r="D633" s="8">
        <v>10440500</v>
      </c>
      <c r="E633">
        <v>7755800</v>
      </c>
      <c r="F633">
        <v>2684700</v>
      </c>
      <c r="G633" s="1">
        <v>46144</v>
      </c>
      <c r="H633" s="7">
        <f>Table1[[#This Row],[Profit]]/Table1[[#This Row],[Revenue]] *100</f>
        <v>25.714285714285712</v>
      </c>
    </row>
    <row r="634" spans="1:8" x14ac:dyDescent="0.2">
      <c r="A634" t="s">
        <v>22</v>
      </c>
      <c r="B634" t="s">
        <v>12</v>
      </c>
      <c r="C634">
        <v>2053</v>
      </c>
      <c r="D634" s="8">
        <v>2463600</v>
      </c>
      <c r="E634">
        <v>1745050</v>
      </c>
      <c r="F634">
        <v>718550</v>
      </c>
      <c r="G634" s="1">
        <v>45675</v>
      </c>
      <c r="H634" s="7">
        <f>Table1[[#This Row],[Profit]]/Table1[[#This Row],[Revenue]] *100</f>
        <v>29.166666666666668</v>
      </c>
    </row>
    <row r="635" spans="1:8" x14ac:dyDescent="0.2">
      <c r="A635" t="s">
        <v>20</v>
      </c>
      <c r="B635" t="s">
        <v>19</v>
      </c>
      <c r="C635">
        <v>1357</v>
      </c>
      <c r="D635" s="8">
        <v>61065000</v>
      </c>
      <c r="E635">
        <v>51566000</v>
      </c>
      <c r="F635">
        <v>9499000</v>
      </c>
      <c r="G635" s="1">
        <v>45736</v>
      </c>
      <c r="H635" s="7">
        <f>Table1[[#This Row],[Profit]]/Table1[[#This Row],[Revenue]] *100</f>
        <v>15.555555555555555</v>
      </c>
    </row>
    <row r="636" spans="1:8" x14ac:dyDescent="0.2">
      <c r="A636" t="s">
        <v>15</v>
      </c>
      <c r="B636" t="s">
        <v>14</v>
      </c>
      <c r="C636">
        <v>2006</v>
      </c>
      <c r="D636" s="8">
        <v>2407200</v>
      </c>
      <c r="E636">
        <v>1604800</v>
      </c>
      <c r="F636">
        <v>802400</v>
      </c>
      <c r="G636" s="1">
        <v>45716</v>
      </c>
      <c r="H636" s="7">
        <f>Table1[[#This Row],[Profit]]/Table1[[#This Row],[Revenue]] *100</f>
        <v>33.333333333333329</v>
      </c>
    </row>
    <row r="637" spans="1:8" x14ac:dyDescent="0.2">
      <c r="A637" t="s">
        <v>11</v>
      </c>
      <c r="B637" t="s">
        <v>10</v>
      </c>
      <c r="C637">
        <v>2784</v>
      </c>
      <c r="D637" s="8">
        <v>9744000</v>
      </c>
      <c r="E637">
        <v>7238400</v>
      </c>
      <c r="F637">
        <v>2505600</v>
      </c>
      <c r="G637" s="1">
        <v>45452</v>
      </c>
      <c r="H637" s="7">
        <f>Table1[[#This Row],[Profit]]/Table1[[#This Row],[Revenue]] *100</f>
        <v>25.714285714285712</v>
      </c>
    </row>
    <row r="638" spans="1:8" x14ac:dyDescent="0.2">
      <c r="A638" t="s">
        <v>20</v>
      </c>
      <c r="B638" t="s">
        <v>17</v>
      </c>
      <c r="C638">
        <v>2070</v>
      </c>
      <c r="D638" s="8">
        <v>31050000</v>
      </c>
      <c r="E638">
        <v>22770000</v>
      </c>
      <c r="F638">
        <v>8280000</v>
      </c>
      <c r="G638" s="1">
        <v>45920</v>
      </c>
      <c r="H638" s="7">
        <f>Table1[[#This Row],[Profit]]/Table1[[#This Row],[Revenue]] *100</f>
        <v>26.666666666666668</v>
      </c>
    </row>
    <row r="639" spans="1:8" x14ac:dyDescent="0.2">
      <c r="A639" t="s">
        <v>13</v>
      </c>
      <c r="B639" t="s">
        <v>10</v>
      </c>
      <c r="C639">
        <v>2262</v>
      </c>
      <c r="D639" s="8">
        <v>7917000</v>
      </c>
      <c r="E639">
        <v>5881200</v>
      </c>
      <c r="F639">
        <v>2035800</v>
      </c>
      <c r="G639" s="1">
        <v>46186</v>
      </c>
      <c r="H639" s="7">
        <f>Table1[[#This Row],[Profit]]/Table1[[#This Row],[Revenue]] *100</f>
        <v>25.714285714285712</v>
      </c>
    </row>
    <row r="640" spans="1:8" x14ac:dyDescent="0.2">
      <c r="A640" t="s">
        <v>7</v>
      </c>
      <c r="B640" t="s">
        <v>8</v>
      </c>
      <c r="C640">
        <v>2402</v>
      </c>
      <c r="D640" s="8">
        <v>7206000</v>
      </c>
      <c r="E640">
        <v>4323600</v>
      </c>
      <c r="F640">
        <v>2882400</v>
      </c>
      <c r="G640" s="1">
        <v>45781</v>
      </c>
      <c r="H640" s="7">
        <f>Table1[[#This Row],[Profit]]/Table1[[#This Row],[Revenue]] *100</f>
        <v>40</v>
      </c>
    </row>
    <row r="641" spans="1:8" x14ac:dyDescent="0.2">
      <c r="A641" t="s">
        <v>11</v>
      </c>
      <c r="B641" t="s">
        <v>19</v>
      </c>
      <c r="C641">
        <v>1705</v>
      </c>
      <c r="D641" s="8">
        <v>76725000</v>
      </c>
      <c r="E641">
        <v>64790000</v>
      </c>
      <c r="F641">
        <v>11935000</v>
      </c>
      <c r="G641" s="1">
        <v>46308</v>
      </c>
      <c r="H641" s="7">
        <f>Table1[[#This Row],[Profit]]/Table1[[#This Row],[Revenue]] *100</f>
        <v>15.555555555555555</v>
      </c>
    </row>
    <row r="642" spans="1:8" x14ac:dyDescent="0.2">
      <c r="A642" t="s">
        <v>21</v>
      </c>
      <c r="B642" t="s">
        <v>14</v>
      </c>
      <c r="C642">
        <v>1629</v>
      </c>
      <c r="D642" s="8">
        <v>1954800</v>
      </c>
      <c r="E642">
        <v>1303200</v>
      </c>
      <c r="F642">
        <v>651600</v>
      </c>
      <c r="G642" s="1">
        <v>45618</v>
      </c>
      <c r="H642" s="7">
        <f>Table1[[#This Row],[Profit]]/Table1[[#This Row],[Revenue]] *100</f>
        <v>33.333333333333329</v>
      </c>
    </row>
    <row r="643" spans="1:8" x14ac:dyDescent="0.2">
      <c r="A643" t="s">
        <v>18</v>
      </c>
      <c r="B643" t="s">
        <v>17</v>
      </c>
      <c r="C643">
        <v>1897</v>
      </c>
      <c r="D643" s="8">
        <v>28455000</v>
      </c>
      <c r="E643">
        <v>20867000</v>
      </c>
      <c r="F643">
        <v>7588000</v>
      </c>
      <c r="G643" s="1">
        <v>45889</v>
      </c>
      <c r="H643" s="7">
        <f>Table1[[#This Row],[Profit]]/Table1[[#This Row],[Revenue]] *100</f>
        <v>26.666666666666668</v>
      </c>
    </row>
    <row r="644" spans="1:8" x14ac:dyDescent="0.2">
      <c r="A644" t="s">
        <v>21</v>
      </c>
      <c r="B644" t="s">
        <v>19</v>
      </c>
      <c r="C644">
        <v>2253</v>
      </c>
      <c r="D644" s="8">
        <v>101385000</v>
      </c>
      <c r="E644">
        <v>85614000</v>
      </c>
      <c r="F644">
        <v>15771000</v>
      </c>
      <c r="G644" s="1">
        <v>46306</v>
      </c>
      <c r="H644" s="7">
        <f>Table1[[#This Row],[Profit]]/Table1[[#This Row],[Revenue]] *100</f>
        <v>15.555555555555555</v>
      </c>
    </row>
    <row r="645" spans="1:8" x14ac:dyDescent="0.2">
      <c r="A645" t="s">
        <v>20</v>
      </c>
      <c r="B645" t="s">
        <v>10</v>
      </c>
      <c r="C645">
        <v>1440</v>
      </c>
      <c r="D645" s="8">
        <v>5040000</v>
      </c>
      <c r="E645">
        <v>3744000</v>
      </c>
      <c r="F645">
        <v>1296000</v>
      </c>
      <c r="G645" s="1">
        <v>45580</v>
      </c>
      <c r="H645" s="7">
        <f>Table1[[#This Row],[Profit]]/Table1[[#This Row],[Revenue]] *100</f>
        <v>25.714285714285712</v>
      </c>
    </row>
    <row r="646" spans="1:8" x14ac:dyDescent="0.2">
      <c r="A646" t="s">
        <v>21</v>
      </c>
      <c r="B646" t="s">
        <v>19</v>
      </c>
      <c r="C646">
        <v>1792</v>
      </c>
      <c r="D646" s="8">
        <v>80640000</v>
      </c>
      <c r="E646">
        <v>68096000</v>
      </c>
      <c r="F646">
        <v>12544000</v>
      </c>
      <c r="G646" s="1">
        <v>45884</v>
      </c>
      <c r="H646" s="7">
        <f>Table1[[#This Row],[Profit]]/Table1[[#This Row],[Revenue]] *100</f>
        <v>15.555555555555555</v>
      </c>
    </row>
    <row r="647" spans="1:8" x14ac:dyDescent="0.2">
      <c r="A647" t="s">
        <v>13</v>
      </c>
      <c r="B647" t="s">
        <v>14</v>
      </c>
      <c r="C647">
        <v>1975</v>
      </c>
      <c r="D647" s="8">
        <v>2370000</v>
      </c>
      <c r="E647">
        <v>1580000</v>
      </c>
      <c r="F647">
        <v>790000</v>
      </c>
      <c r="G647" s="1">
        <v>45864</v>
      </c>
      <c r="H647" s="7">
        <f>Table1[[#This Row],[Profit]]/Table1[[#This Row],[Revenue]] *100</f>
        <v>33.333333333333329</v>
      </c>
    </row>
    <row r="648" spans="1:8" x14ac:dyDescent="0.2">
      <c r="A648" t="s">
        <v>15</v>
      </c>
      <c r="B648" t="s">
        <v>23</v>
      </c>
      <c r="C648">
        <v>669</v>
      </c>
      <c r="D648" s="8">
        <v>3345000</v>
      </c>
      <c r="E648">
        <v>2809800</v>
      </c>
      <c r="F648">
        <v>535200</v>
      </c>
      <c r="G648" s="1">
        <v>45319</v>
      </c>
      <c r="H648" s="7">
        <f>Table1[[#This Row],[Profit]]/Table1[[#This Row],[Revenue]] *100</f>
        <v>16</v>
      </c>
    </row>
    <row r="649" spans="1:8" x14ac:dyDescent="0.2">
      <c r="A649" t="s">
        <v>22</v>
      </c>
      <c r="B649" t="s">
        <v>19</v>
      </c>
      <c r="C649">
        <v>1324</v>
      </c>
      <c r="D649" s="8">
        <v>59580000</v>
      </c>
      <c r="E649">
        <v>50312000</v>
      </c>
      <c r="F649">
        <v>9268000</v>
      </c>
      <c r="G649" s="1">
        <v>46245</v>
      </c>
      <c r="H649" s="7">
        <f>Table1[[#This Row],[Profit]]/Table1[[#This Row],[Revenue]] *100</f>
        <v>15.555555555555555</v>
      </c>
    </row>
    <row r="650" spans="1:8" x14ac:dyDescent="0.2">
      <c r="A650" t="s">
        <v>18</v>
      </c>
      <c r="B650" t="s">
        <v>8</v>
      </c>
      <c r="C650">
        <v>1006</v>
      </c>
      <c r="D650" s="8">
        <v>3018000</v>
      </c>
      <c r="E650">
        <v>1810800</v>
      </c>
      <c r="F650">
        <v>1207200</v>
      </c>
      <c r="G650" s="1">
        <v>45334</v>
      </c>
      <c r="H650" s="7">
        <f>Table1[[#This Row],[Profit]]/Table1[[#This Row],[Revenue]] *100</f>
        <v>40</v>
      </c>
    </row>
    <row r="651" spans="1:8" x14ac:dyDescent="0.2">
      <c r="A651" t="s">
        <v>21</v>
      </c>
      <c r="B651" t="s">
        <v>19</v>
      </c>
      <c r="C651">
        <v>1989</v>
      </c>
      <c r="D651" s="8">
        <v>89505000</v>
      </c>
      <c r="E651">
        <v>75582000</v>
      </c>
      <c r="F651">
        <v>13923000</v>
      </c>
      <c r="G651" s="1">
        <v>45714</v>
      </c>
      <c r="H651" s="7">
        <f>Table1[[#This Row],[Profit]]/Table1[[#This Row],[Revenue]] *100</f>
        <v>15.555555555555555</v>
      </c>
    </row>
    <row r="652" spans="1:8" x14ac:dyDescent="0.2">
      <c r="A652" t="s">
        <v>21</v>
      </c>
      <c r="B652" t="s">
        <v>10</v>
      </c>
      <c r="C652">
        <v>2431</v>
      </c>
      <c r="D652" s="8">
        <v>8508500</v>
      </c>
      <c r="E652">
        <v>6320600</v>
      </c>
      <c r="F652">
        <v>2187900</v>
      </c>
      <c r="G652" s="1">
        <v>45468</v>
      </c>
      <c r="H652" s="7">
        <f>Table1[[#This Row],[Profit]]/Table1[[#This Row],[Revenue]] *100</f>
        <v>25.714285714285712</v>
      </c>
    </row>
    <row r="653" spans="1:8" x14ac:dyDescent="0.2">
      <c r="A653" t="s">
        <v>20</v>
      </c>
      <c r="B653" t="s">
        <v>10</v>
      </c>
      <c r="C653">
        <v>1018</v>
      </c>
      <c r="D653" s="8">
        <v>3563000</v>
      </c>
      <c r="E653">
        <v>2646800</v>
      </c>
      <c r="F653">
        <v>916200</v>
      </c>
      <c r="G653" s="1">
        <v>45820</v>
      </c>
      <c r="H653" s="7">
        <f>Table1[[#This Row],[Profit]]/Table1[[#This Row],[Revenue]] *100</f>
        <v>25.714285714285712</v>
      </c>
    </row>
    <row r="654" spans="1:8" x14ac:dyDescent="0.2">
      <c r="A654" t="s">
        <v>22</v>
      </c>
      <c r="B654" t="s">
        <v>17</v>
      </c>
      <c r="C654">
        <v>2608</v>
      </c>
      <c r="D654" s="8">
        <v>39120000</v>
      </c>
      <c r="E654">
        <v>28688000</v>
      </c>
      <c r="F654">
        <v>10432000</v>
      </c>
      <c r="G654" s="1">
        <v>46257</v>
      </c>
      <c r="H654" s="7">
        <f>Table1[[#This Row],[Profit]]/Table1[[#This Row],[Revenue]] *100</f>
        <v>26.666666666666668</v>
      </c>
    </row>
    <row r="655" spans="1:8" x14ac:dyDescent="0.2">
      <c r="A655" t="s">
        <v>16</v>
      </c>
      <c r="B655" t="s">
        <v>10</v>
      </c>
      <c r="C655">
        <v>1366</v>
      </c>
      <c r="D655" s="8">
        <v>4781000</v>
      </c>
      <c r="E655">
        <v>3551600</v>
      </c>
      <c r="F655">
        <v>1229400</v>
      </c>
      <c r="G655" s="1">
        <v>45489</v>
      </c>
      <c r="H655" s="7">
        <f>Table1[[#This Row],[Profit]]/Table1[[#This Row],[Revenue]] *100</f>
        <v>25.714285714285712</v>
      </c>
    </row>
    <row r="656" spans="1:8" x14ac:dyDescent="0.2">
      <c r="A656" t="s">
        <v>21</v>
      </c>
      <c r="B656" t="s">
        <v>12</v>
      </c>
      <c r="C656">
        <v>1093</v>
      </c>
      <c r="D656" s="8">
        <v>1311600</v>
      </c>
      <c r="E656">
        <v>929050</v>
      </c>
      <c r="F656">
        <v>382550</v>
      </c>
      <c r="G656" s="1">
        <v>45901</v>
      </c>
      <c r="H656" s="7">
        <f>Table1[[#This Row],[Profit]]/Table1[[#This Row],[Revenue]] *100</f>
        <v>29.166666666666668</v>
      </c>
    </row>
    <row r="657" spans="1:8" x14ac:dyDescent="0.2">
      <c r="A657" t="s">
        <v>13</v>
      </c>
      <c r="B657" t="s">
        <v>14</v>
      </c>
      <c r="C657">
        <v>331</v>
      </c>
      <c r="D657" s="8">
        <v>397200</v>
      </c>
      <c r="E657">
        <v>264800</v>
      </c>
      <c r="F657">
        <v>132400</v>
      </c>
      <c r="G657" s="1">
        <v>46133</v>
      </c>
      <c r="H657" s="7">
        <f>Table1[[#This Row],[Profit]]/Table1[[#This Row],[Revenue]] *100</f>
        <v>33.333333333333329</v>
      </c>
    </row>
    <row r="658" spans="1:8" x14ac:dyDescent="0.2">
      <c r="A658" t="s">
        <v>7</v>
      </c>
      <c r="B658" t="s">
        <v>14</v>
      </c>
      <c r="C658">
        <v>2894</v>
      </c>
      <c r="D658" s="8">
        <v>3472800</v>
      </c>
      <c r="E658">
        <v>2315200</v>
      </c>
      <c r="F658">
        <v>1157600</v>
      </c>
      <c r="G658" s="1">
        <v>46144</v>
      </c>
      <c r="H658" s="7">
        <f>Table1[[#This Row],[Profit]]/Table1[[#This Row],[Revenue]] *100</f>
        <v>33.333333333333329</v>
      </c>
    </row>
    <row r="659" spans="1:8" x14ac:dyDescent="0.2">
      <c r="A659" t="s">
        <v>18</v>
      </c>
      <c r="B659" t="s">
        <v>23</v>
      </c>
      <c r="C659">
        <v>2216</v>
      </c>
      <c r="D659" s="8">
        <v>11080000</v>
      </c>
      <c r="E659">
        <v>9307200</v>
      </c>
      <c r="F659">
        <v>1772800</v>
      </c>
      <c r="G659" s="1">
        <v>45313</v>
      </c>
      <c r="H659" s="7">
        <f>Table1[[#This Row],[Profit]]/Table1[[#This Row],[Revenue]] *100</f>
        <v>16</v>
      </c>
    </row>
    <row r="660" spans="1:8" x14ac:dyDescent="0.2">
      <c r="A660" t="s">
        <v>21</v>
      </c>
      <c r="B660" t="s">
        <v>23</v>
      </c>
      <c r="C660">
        <v>1108</v>
      </c>
      <c r="D660" s="8">
        <v>5540000</v>
      </c>
      <c r="E660">
        <v>4653600</v>
      </c>
      <c r="F660">
        <v>886400</v>
      </c>
      <c r="G660" s="1">
        <v>46372</v>
      </c>
      <c r="H660" s="7">
        <f>Table1[[#This Row],[Profit]]/Table1[[#This Row],[Revenue]] *100</f>
        <v>16</v>
      </c>
    </row>
    <row r="661" spans="1:8" x14ac:dyDescent="0.2">
      <c r="A661" t="s">
        <v>13</v>
      </c>
      <c r="B661" t="s">
        <v>14</v>
      </c>
      <c r="C661">
        <v>247</v>
      </c>
      <c r="D661" s="8">
        <v>296400</v>
      </c>
      <c r="E661">
        <v>197600</v>
      </c>
      <c r="F661">
        <v>98800</v>
      </c>
      <c r="G661" s="1">
        <v>46381</v>
      </c>
      <c r="H661" s="7">
        <f>Table1[[#This Row],[Profit]]/Table1[[#This Row],[Revenue]] *100</f>
        <v>33.333333333333329</v>
      </c>
    </row>
    <row r="662" spans="1:8" x14ac:dyDescent="0.2">
      <c r="A662" t="s">
        <v>13</v>
      </c>
      <c r="B662" t="s">
        <v>8</v>
      </c>
      <c r="C662">
        <v>2582</v>
      </c>
      <c r="D662" s="8">
        <v>7746000</v>
      </c>
      <c r="E662">
        <v>4647600</v>
      </c>
      <c r="F662">
        <v>3098400</v>
      </c>
      <c r="G662" s="1">
        <v>46133</v>
      </c>
      <c r="H662" s="7">
        <f>Table1[[#This Row],[Profit]]/Table1[[#This Row],[Revenue]] *100</f>
        <v>40</v>
      </c>
    </row>
    <row r="663" spans="1:8" x14ac:dyDescent="0.2">
      <c r="A663" t="s">
        <v>18</v>
      </c>
      <c r="B663" t="s">
        <v>23</v>
      </c>
      <c r="C663">
        <v>1132</v>
      </c>
      <c r="D663" s="8">
        <v>5660000</v>
      </c>
      <c r="E663">
        <v>4754400</v>
      </c>
      <c r="F663">
        <v>905600</v>
      </c>
      <c r="G663" s="1">
        <v>45389</v>
      </c>
      <c r="H663" s="7">
        <f>Table1[[#This Row],[Profit]]/Table1[[#This Row],[Revenue]] *100</f>
        <v>16</v>
      </c>
    </row>
    <row r="664" spans="1:8" x14ac:dyDescent="0.2">
      <c r="A664" t="s">
        <v>16</v>
      </c>
      <c r="B664" t="s">
        <v>17</v>
      </c>
      <c r="C664">
        <v>2934</v>
      </c>
      <c r="D664" s="8">
        <v>44010000</v>
      </c>
      <c r="E664">
        <v>32274000</v>
      </c>
      <c r="F664">
        <v>11736000</v>
      </c>
      <c r="G664" s="1">
        <v>45726</v>
      </c>
      <c r="H664" s="7">
        <f>Table1[[#This Row],[Profit]]/Table1[[#This Row],[Revenue]] *100</f>
        <v>26.666666666666668</v>
      </c>
    </row>
    <row r="665" spans="1:8" x14ac:dyDescent="0.2">
      <c r="A665" t="s">
        <v>13</v>
      </c>
      <c r="B665" t="s">
        <v>10</v>
      </c>
      <c r="C665">
        <v>1234</v>
      </c>
      <c r="D665" s="8">
        <v>4319000</v>
      </c>
      <c r="E665">
        <v>3208400</v>
      </c>
      <c r="F665">
        <v>1110600</v>
      </c>
      <c r="G665" s="1">
        <v>45928</v>
      </c>
      <c r="H665" s="7">
        <f>Table1[[#This Row],[Profit]]/Table1[[#This Row],[Revenue]] *100</f>
        <v>25.714285714285712</v>
      </c>
    </row>
    <row r="666" spans="1:8" x14ac:dyDescent="0.2">
      <c r="A666" t="s">
        <v>7</v>
      </c>
      <c r="B666" t="s">
        <v>14</v>
      </c>
      <c r="C666">
        <v>1058</v>
      </c>
      <c r="D666" s="8">
        <v>1269600</v>
      </c>
      <c r="E666">
        <v>846400</v>
      </c>
      <c r="F666">
        <v>423200</v>
      </c>
      <c r="G666" s="1">
        <v>45879</v>
      </c>
      <c r="H666" s="7">
        <f>Table1[[#This Row],[Profit]]/Table1[[#This Row],[Revenue]] *100</f>
        <v>33.333333333333329</v>
      </c>
    </row>
    <row r="667" spans="1:8" x14ac:dyDescent="0.2">
      <c r="A667" t="s">
        <v>13</v>
      </c>
      <c r="B667" t="s">
        <v>23</v>
      </c>
      <c r="C667">
        <v>2788</v>
      </c>
      <c r="D667" s="8">
        <v>13940000</v>
      </c>
      <c r="E667">
        <v>11709600</v>
      </c>
      <c r="F667">
        <v>2230400</v>
      </c>
      <c r="G667" s="1">
        <v>45635</v>
      </c>
      <c r="H667" s="7">
        <f>Table1[[#This Row],[Profit]]/Table1[[#This Row],[Revenue]] *100</f>
        <v>16</v>
      </c>
    </row>
    <row r="668" spans="1:8" x14ac:dyDescent="0.2">
      <c r="A668" t="s">
        <v>13</v>
      </c>
      <c r="B668" t="s">
        <v>14</v>
      </c>
      <c r="C668">
        <v>1279</v>
      </c>
      <c r="D668" s="8">
        <v>1534800</v>
      </c>
      <c r="E668">
        <v>1023200</v>
      </c>
      <c r="F668">
        <v>511600</v>
      </c>
      <c r="G668" s="1">
        <v>45862</v>
      </c>
      <c r="H668" s="7">
        <f>Table1[[#This Row],[Profit]]/Table1[[#This Row],[Revenue]] *100</f>
        <v>33.333333333333329</v>
      </c>
    </row>
    <row r="669" spans="1:8" x14ac:dyDescent="0.2">
      <c r="A669" t="s">
        <v>13</v>
      </c>
      <c r="B669" t="s">
        <v>12</v>
      </c>
      <c r="C669">
        <v>1085</v>
      </c>
      <c r="D669" s="8">
        <v>1302000</v>
      </c>
      <c r="E669">
        <v>922250</v>
      </c>
      <c r="F669">
        <v>379750</v>
      </c>
      <c r="G669" s="1">
        <v>45902</v>
      </c>
      <c r="H669" s="7">
        <f>Table1[[#This Row],[Profit]]/Table1[[#This Row],[Revenue]] *100</f>
        <v>29.166666666666668</v>
      </c>
    </row>
    <row r="670" spans="1:8" x14ac:dyDescent="0.2">
      <c r="A670" t="s">
        <v>15</v>
      </c>
      <c r="B670" t="s">
        <v>19</v>
      </c>
      <c r="C670">
        <v>539</v>
      </c>
      <c r="D670" s="8">
        <v>24255000</v>
      </c>
      <c r="E670">
        <v>20482000</v>
      </c>
      <c r="F670">
        <v>3773000</v>
      </c>
      <c r="G670" s="1">
        <v>45534</v>
      </c>
      <c r="H670" s="7">
        <f>Table1[[#This Row],[Profit]]/Table1[[#This Row],[Revenue]] *100</f>
        <v>15.555555555555555</v>
      </c>
    </row>
    <row r="671" spans="1:8" x14ac:dyDescent="0.2">
      <c r="A671" t="s">
        <v>15</v>
      </c>
      <c r="B671" t="s">
        <v>10</v>
      </c>
      <c r="C671">
        <v>325</v>
      </c>
      <c r="D671" s="8">
        <v>1137500</v>
      </c>
      <c r="E671">
        <v>845000</v>
      </c>
      <c r="F671">
        <v>292500</v>
      </c>
      <c r="G671" s="1">
        <v>45852</v>
      </c>
      <c r="H671" s="7">
        <f>Table1[[#This Row],[Profit]]/Table1[[#This Row],[Revenue]] *100</f>
        <v>25.714285714285712</v>
      </c>
    </row>
    <row r="672" spans="1:8" x14ac:dyDescent="0.2">
      <c r="A672" t="s">
        <v>16</v>
      </c>
      <c r="B672" t="s">
        <v>14</v>
      </c>
      <c r="C672">
        <v>2790</v>
      </c>
      <c r="D672" s="8">
        <v>3348000</v>
      </c>
      <c r="E672">
        <v>2232000</v>
      </c>
      <c r="F672">
        <v>1116000</v>
      </c>
      <c r="G672" s="1">
        <v>46251</v>
      </c>
      <c r="H672" s="7">
        <f>Table1[[#This Row],[Profit]]/Table1[[#This Row],[Revenue]] *100</f>
        <v>33.333333333333329</v>
      </c>
    </row>
    <row r="673" spans="1:8" x14ac:dyDescent="0.2">
      <c r="A673" t="s">
        <v>21</v>
      </c>
      <c r="B673" t="s">
        <v>19</v>
      </c>
      <c r="C673">
        <v>2339</v>
      </c>
      <c r="D673" s="8">
        <v>105255000</v>
      </c>
      <c r="E673">
        <v>88882000</v>
      </c>
      <c r="F673">
        <v>16373000</v>
      </c>
      <c r="G673" s="1">
        <v>45323</v>
      </c>
      <c r="H673" s="7">
        <f>Table1[[#This Row],[Profit]]/Table1[[#This Row],[Revenue]] *100</f>
        <v>15.555555555555555</v>
      </c>
    </row>
    <row r="674" spans="1:8" x14ac:dyDescent="0.2">
      <c r="A674" t="s">
        <v>13</v>
      </c>
      <c r="B674" t="s">
        <v>23</v>
      </c>
      <c r="C674">
        <v>1289</v>
      </c>
      <c r="D674" s="8">
        <v>6445000</v>
      </c>
      <c r="E674">
        <v>5413800</v>
      </c>
      <c r="F674">
        <v>1031200</v>
      </c>
      <c r="G674" s="1">
        <v>45682</v>
      </c>
      <c r="H674" s="7">
        <f>Table1[[#This Row],[Profit]]/Table1[[#This Row],[Revenue]] *100</f>
        <v>16</v>
      </c>
    </row>
    <row r="675" spans="1:8" x14ac:dyDescent="0.2">
      <c r="A675" t="s">
        <v>22</v>
      </c>
      <c r="B675" t="s">
        <v>19</v>
      </c>
      <c r="C675">
        <v>1324</v>
      </c>
      <c r="D675" s="8">
        <v>59580000</v>
      </c>
      <c r="E675">
        <v>50312000</v>
      </c>
      <c r="F675">
        <v>9268000</v>
      </c>
      <c r="G675" s="1">
        <v>45568</v>
      </c>
      <c r="H675" s="7">
        <f>Table1[[#This Row],[Profit]]/Table1[[#This Row],[Revenue]] *100</f>
        <v>15.555555555555555</v>
      </c>
    </row>
    <row r="676" spans="1:8" x14ac:dyDescent="0.2">
      <c r="A676" t="s">
        <v>21</v>
      </c>
      <c r="B676" t="s">
        <v>10</v>
      </c>
      <c r="C676">
        <v>175</v>
      </c>
      <c r="D676" s="8">
        <v>612500</v>
      </c>
      <c r="E676">
        <v>455000</v>
      </c>
      <c r="F676">
        <v>157500</v>
      </c>
      <c r="G676" s="1">
        <v>45823</v>
      </c>
      <c r="H676" s="7">
        <f>Table1[[#This Row],[Profit]]/Table1[[#This Row],[Revenue]] *100</f>
        <v>25.714285714285712</v>
      </c>
    </row>
    <row r="677" spans="1:8" x14ac:dyDescent="0.2">
      <c r="A677" t="s">
        <v>16</v>
      </c>
      <c r="B677" t="s">
        <v>14</v>
      </c>
      <c r="C677">
        <v>266</v>
      </c>
      <c r="D677" s="8">
        <v>319200</v>
      </c>
      <c r="E677">
        <v>212800</v>
      </c>
      <c r="F677">
        <v>106400</v>
      </c>
      <c r="G677" s="1">
        <v>45674</v>
      </c>
      <c r="H677" s="7">
        <f>Table1[[#This Row],[Profit]]/Table1[[#This Row],[Revenue]] *100</f>
        <v>33.333333333333329</v>
      </c>
    </row>
    <row r="678" spans="1:8" x14ac:dyDescent="0.2">
      <c r="A678" t="s">
        <v>9</v>
      </c>
      <c r="B678" t="s">
        <v>12</v>
      </c>
      <c r="C678">
        <v>1258</v>
      </c>
      <c r="D678" s="8">
        <v>1509600</v>
      </c>
      <c r="E678">
        <v>1069300</v>
      </c>
      <c r="F678">
        <v>440300</v>
      </c>
      <c r="G678" s="1">
        <v>46383</v>
      </c>
      <c r="H678" s="7">
        <f>Table1[[#This Row],[Profit]]/Table1[[#This Row],[Revenue]] *100</f>
        <v>29.166666666666668</v>
      </c>
    </row>
    <row r="679" spans="1:8" x14ac:dyDescent="0.2">
      <c r="A679" t="s">
        <v>21</v>
      </c>
      <c r="B679" t="s">
        <v>8</v>
      </c>
      <c r="C679">
        <v>1296</v>
      </c>
      <c r="D679" s="8">
        <v>3888000</v>
      </c>
      <c r="E679">
        <v>2332800</v>
      </c>
      <c r="F679">
        <v>1555200</v>
      </c>
      <c r="G679" s="1">
        <v>46175</v>
      </c>
      <c r="H679" s="7">
        <f>Table1[[#This Row],[Profit]]/Table1[[#This Row],[Revenue]] *100</f>
        <v>40</v>
      </c>
    </row>
    <row r="680" spans="1:8" x14ac:dyDescent="0.2">
      <c r="A680" t="s">
        <v>21</v>
      </c>
      <c r="B680" t="s">
        <v>23</v>
      </c>
      <c r="C680">
        <v>2592</v>
      </c>
      <c r="D680" s="8">
        <v>12960000</v>
      </c>
      <c r="E680">
        <v>10886400</v>
      </c>
      <c r="F680">
        <v>2073600</v>
      </c>
      <c r="G680" s="1">
        <v>45505</v>
      </c>
      <c r="H680" s="7">
        <f>Table1[[#This Row],[Profit]]/Table1[[#This Row],[Revenue]] *100</f>
        <v>16</v>
      </c>
    </row>
    <row r="681" spans="1:8" x14ac:dyDescent="0.2">
      <c r="A681" t="s">
        <v>11</v>
      </c>
      <c r="B681" t="s">
        <v>14</v>
      </c>
      <c r="C681">
        <v>2524</v>
      </c>
      <c r="D681" s="8">
        <v>3028800</v>
      </c>
      <c r="E681">
        <v>2019200</v>
      </c>
      <c r="F681">
        <v>1009600</v>
      </c>
      <c r="G681" s="1">
        <v>45667</v>
      </c>
      <c r="H681" s="7">
        <f>Table1[[#This Row],[Profit]]/Table1[[#This Row],[Revenue]] *100</f>
        <v>33.333333333333329</v>
      </c>
    </row>
    <row r="682" spans="1:8" x14ac:dyDescent="0.2">
      <c r="A682" t="s">
        <v>20</v>
      </c>
      <c r="B682" t="s">
        <v>10</v>
      </c>
      <c r="C682">
        <v>968</v>
      </c>
      <c r="D682" s="8">
        <v>3388000</v>
      </c>
      <c r="E682">
        <v>2516800</v>
      </c>
      <c r="F682">
        <v>871200</v>
      </c>
      <c r="G682" s="1">
        <v>46035</v>
      </c>
      <c r="H682" s="7">
        <f>Table1[[#This Row],[Profit]]/Table1[[#This Row],[Revenue]] *100</f>
        <v>25.714285714285712</v>
      </c>
    </row>
    <row r="683" spans="1:8" x14ac:dyDescent="0.2">
      <c r="A683" t="s">
        <v>11</v>
      </c>
      <c r="B683" t="s">
        <v>23</v>
      </c>
      <c r="C683">
        <v>1367</v>
      </c>
      <c r="D683" s="8">
        <v>6835000</v>
      </c>
      <c r="E683">
        <v>5741400</v>
      </c>
      <c r="F683">
        <v>1093600</v>
      </c>
      <c r="G683" s="1">
        <v>45504</v>
      </c>
      <c r="H683" s="7">
        <f>Table1[[#This Row],[Profit]]/Table1[[#This Row],[Revenue]] *100</f>
        <v>16</v>
      </c>
    </row>
    <row r="684" spans="1:8" x14ac:dyDescent="0.2">
      <c r="A684" t="s">
        <v>7</v>
      </c>
      <c r="B684" t="s">
        <v>17</v>
      </c>
      <c r="C684">
        <v>2248</v>
      </c>
      <c r="D684" s="8">
        <v>33720000</v>
      </c>
      <c r="E684">
        <v>24728000</v>
      </c>
      <c r="F684">
        <v>8992000</v>
      </c>
      <c r="G684" s="1">
        <v>45370</v>
      </c>
      <c r="H684" s="7">
        <f>Table1[[#This Row],[Profit]]/Table1[[#This Row],[Revenue]] *100</f>
        <v>26.666666666666668</v>
      </c>
    </row>
    <row r="685" spans="1:8" x14ac:dyDescent="0.2">
      <c r="A685" t="s">
        <v>15</v>
      </c>
      <c r="B685" t="s">
        <v>19</v>
      </c>
      <c r="C685">
        <v>2481</v>
      </c>
      <c r="D685" s="8">
        <v>111645000</v>
      </c>
      <c r="E685">
        <v>94278000</v>
      </c>
      <c r="F685">
        <v>17367000</v>
      </c>
      <c r="G685" s="1">
        <v>45919</v>
      </c>
      <c r="H685" s="7">
        <f>Table1[[#This Row],[Profit]]/Table1[[#This Row],[Revenue]] *100</f>
        <v>15.555555555555555</v>
      </c>
    </row>
    <row r="686" spans="1:8" x14ac:dyDescent="0.2">
      <c r="A686" t="s">
        <v>15</v>
      </c>
      <c r="B686" t="s">
        <v>8</v>
      </c>
      <c r="C686">
        <v>1711</v>
      </c>
      <c r="D686" s="8">
        <v>5133000</v>
      </c>
      <c r="E686">
        <v>3079800</v>
      </c>
      <c r="F686">
        <v>2053200</v>
      </c>
      <c r="G686" s="1">
        <v>45895</v>
      </c>
      <c r="H686" s="7">
        <f>Table1[[#This Row],[Profit]]/Table1[[#This Row],[Revenue]] *100</f>
        <v>40</v>
      </c>
    </row>
    <row r="687" spans="1:8" x14ac:dyDescent="0.2">
      <c r="A687" t="s">
        <v>20</v>
      </c>
      <c r="B687" t="s">
        <v>10</v>
      </c>
      <c r="C687">
        <v>357</v>
      </c>
      <c r="D687" s="8">
        <v>1249500</v>
      </c>
      <c r="E687">
        <v>928200</v>
      </c>
      <c r="F687">
        <v>321300</v>
      </c>
      <c r="G687" s="1">
        <v>46073</v>
      </c>
      <c r="H687" s="7">
        <f>Table1[[#This Row],[Profit]]/Table1[[#This Row],[Revenue]] *100</f>
        <v>25.714285714285712</v>
      </c>
    </row>
    <row r="688" spans="1:8" x14ac:dyDescent="0.2">
      <c r="A688" t="s">
        <v>18</v>
      </c>
      <c r="B688" t="s">
        <v>17</v>
      </c>
      <c r="C688">
        <v>1409</v>
      </c>
      <c r="D688" s="8">
        <v>21135000</v>
      </c>
      <c r="E688">
        <v>15499000</v>
      </c>
      <c r="F688">
        <v>5636000</v>
      </c>
      <c r="G688" s="1">
        <v>46292</v>
      </c>
      <c r="H688" s="7">
        <f>Table1[[#This Row],[Profit]]/Table1[[#This Row],[Revenue]] *100</f>
        <v>26.666666666666668</v>
      </c>
    </row>
    <row r="689" spans="1:8" x14ac:dyDescent="0.2">
      <c r="A689" t="s">
        <v>18</v>
      </c>
      <c r="B689" t="s">
        <v>14</v>
      </c>
      <c r="C689">
        <v>2019</v>
      </c>
      <c r="D689" s="8">
        <v>2422800</v>
      </c>
      <c r="E689">
        <v>1615200</v>
      </c>
      <c r="F689">
        <v>807600</v>
      </c>
      <c r="G689" s="1">
        <v>45971</v>
      </c>
      <c r="H689" s="7">
        <f>Table1[[#This Row],[Profit]]/Table1[[#This Row],[Revenue]] *100</f>
        <v>33.333333333333329</v>
      </c>
    </row>
    <row r="690" spans="1:8" x14ac:dyDescent="0.2">
      <c r="A690" t="s">
        <v>16</v>
      </c>
      <c r="B690" t="s">
        <v>12</v>
      </c>
      <c r="C690">
        <v>2843</v>
      </c>
      <c r="D690" s="8">
        <v>3411600</v>
      </c>
      <c r="E690">
        <v>2416550</v>
      </c>
      <c r="F690">
        <v>995050</v>
      </c>
      <c r="G690" s="1">
        <v>45349</v>
      </c>
      <c r="H690" s="7">
        <f>Table1[[#This Row],[Profit]]/Table1[[#This Row],[Revenue]] *100</f>
        <v>29.166666666666668</v>
      </c>
    </row>
    <row r="691" spans="1:8" x14ac:dyDescent="0.2">
      <c r="A691" t="s">
        <v>20</v>
      </c>
      <c r="B691" t="s">
        <v>23</v>
      </c>
      <c r="C691">
        <v>941</v>
      </c>
      <c r="D691" s="8">
        <v>4705000</v>
      </c>
      <c r="E691">
        <v>3952200</v>
      </c>
      <c r="F691">
        <v>752800</v>
      </c>
      <c r="G691" s="1">
        <v>46341</v>
      </c>
      <c r="H691" s="7">
        <f>Table1[[#This Row],[Profit]]/Table1[[#This Row],[Revenue]] *100</f>
        <v>16</v>
      </c>
    </row>
    <row r="692" spans="1:8" x14ac:dyDescent="0.2">
      <c r="A692" t="s">
        <v>21</v>
      </c>
      <c r="B692" t="s">
        <v>19</v>
      </c>
      <c r="C692">
        <v>424</v>
      </c>
      <c r="D692" s="8">
        <v>19080000</v>
      </c>
      <c r="E692">
        <v>16112000</v>
      </c>
      <c r="F692">
        <v>2968000</v>
      </c>
      <c r="G692" s="1">
        <v>46172</v>
      </c>
      <c r="H692" s="7">
        <f>Table1[[#This Row],[Profit]]/Table1[[#This Row],[Revenue]] *100</f>
        <v>15.555555555555555</v>
      </c>
    </row>
    <row r="693" spans="1:8" x14ac:dyDescent="0.2">
      <c r="A693" t="s">
        <v>18</v>
      </c>
      <c r="B693" t="s">
        <v>23</v>
      </c>
      <c r="C693">
        <v>2083</v>
      </c>
      <c r="D693" s="8">
        <v>10415000</v>
      </c>
      <c r="E693">
        <v>8748600</v>
      </c>
      <c r="F693">
        <v>1666400</v>
      </c>
      <c r="G693" s="1">
        <v>45738</v>
      </c>
      <c r="H693" s="7">
        <f>Table1[[#This Row],[Profit]]/Table1[[#This Row],[Revenue]] *100</f>
        <v>16</v>
      </c>
    </row>
    <row r="694" spans="1:8" x14ac:dyDescent="0.2">
      <c r="A694" t="s">
        <v>13</v>
      </c>
      <c r="B694" t="s">
        <v>8</v>
      </c>
      <c r="C694">
        <v>1414</v>
      </c>
      <c r="D694" s="8">
        <v>4242000</v>
      </c>
      <c r="E694">
        <v>2545200</v>
      </c>
      <c r="F694">
        <v>1696800</v>
      </c>
      <c r="G694" s="1">
        <v>45357</v>
      </c>
      <c r="H694" s="7">
        <f>Table1[[#This Row],[Profit]]/Table1[[#This Row],[Revenue]] *100</f>
        <v>40</v>
      </c>
    </row>
    <row r="695" spans="1:8" x14ac:dyDescent="0.2">
      <c r="A695" t="s">
        <v>22</v>
      </c>
      <c r="B695" t="s">
        <v>14</v>
      </c>
      <c r="C695">
        <v>178</v>
      </c>
      <c r="D695" s="8">
        <v>213600</v>
      </c>
      <c r="E695">
        <v>142400</v>
      </c>
      <c r="F695">
        <v>71200</v>
      </c>
      <c r="G695" s="1">
        <v>46359</v>
      </c>
      <c r="H695" s="7">
        <f>Table1[[#This Row],[Profit]]/Table1[[#This Row],[Revenue]] *100</f>
        <v>33.333333333333329</v>
      </c>
    </row>
    <row r="696" spans="1:8" x14ac:dyDescent="0.2">
      <c r="A696" t="s">
        <v>21</v>
      </c>
      <c r="B696" t="s">
        <v>23</v>
      </c>
      <c r="C696">
        <v>1064</v>
      </c>
      <c r="D696" s="8">
        <v>5320000</v>
      </c>
      <c r="E696">
        <v>4468800</v>
      </c>
      <c r="F696">
        <v>851200</v>
      </c>
      <c r="G696" s="1">
        <v>46303</v>
      </c>
      <c r="H696" s="7">
        <f>Table1[[#This Row],[Profit]]/Table1[[#This Row],[Revenue]] *100</f>
        <v>16</v>
      </c>
    </row>
    <row r="697" spans="1:8" x14ac:dyDescent="0.2">
      <c r="A697" t="s">
        <v>7</v>
      </c>
      <c r="B697" t="s">
        <v>19</v>
      </c>
      <c r="C697">
        <v>1849</v>
      </c>
      <c r="D697" s="8">
        <v>83205000</v>
      </c>
      <c r="E697">
        <v>70262000</v>
      </c>
      <c r="F697">
        <v>12943000</v>
      </c>
      <c r="G697" s="1">
        <v>45518</v>
      </c>
      <c r="H697" s="7">
        <f>Table1[[#This Row],[Profit]]/Table1[[#This Row],[Revenue]] *100</f>
        <v>15.555555555555555</v>
      </c>
    </row>
    <row r="698" spans="1:8" x14ac:dyDescent="0.2">
      <c r="A698" t="s">
        <v>13</v>
      </c>
      <c r="B698" t="s">
        <v>14</v>
      </c>
      <c r="C698">
        <v>2766</v>
      </c>
      <c r="D698" s="8">
        <v>3319200</v>
      </c>
      <c r="E698">
        <v>2212800</v>
      </c>
      <c r="F698">
        <v>1106400</v>
      </c>
      <c r="G698" s="1">
        <v>46065</v>
      </c>
      <c r="H698" s="7">
        <f>Table1[[#This Row],[Profit]]/Table1[[#This Row],[Revenue]] *100</f>
        <v>33.333333333333329</v>
      </c>
    </row>
    <row r="699" spans="1:8" x14ac:dyDescent="0.2">
      <c r="A699" t="s">
        <v>13</v>
      </c>
      <c r="B699" t="s">
        <v>23</v>
      </c>
      <c r="C699">
        <v>1431</v>
      </c>
      <c r="D699" s="8">
        <v>7155000</v>
      </c>
      <c r="E699">
        <v>6010200</v>
      </c>
      <c r="F699">
        <v>1144800</v>
      </c>
      <c r="G699" s="1">
        <v>45970</v>
      </c>
      <c r="H699" s="7">
        <f>Table1[[#This Row],[Profit]]/Table1[[#This Row],[Revenue]] *100</f>
        <v>16</v>
      </c>
    </row>
    <row r="700" spans="1:8" x14ac:dyDescent="0.2">
      <c r="A700" t="s">
        <v>20</v>
      </c>
      <c r="B700" t="s">
        <v>12</v>
      </c>
      <c r="C700">
        <v>566</v>
      </c>
      <c r="D700" s="8">
        <v>679200</v>
      </c>
      <c r="E700">
        <v>481100</v>
      </c>
      <c r="F700">
        <v>198100</v>
      </c>
      <c r="G700" s="1">
        <v>45892</v>
      </c>
      <c r="H700" s="7">
        <f>Table1[[#This Row],[Profit]]/Table1[[#This Row],[Revenue]] *100</f>
        <v>29.166666666666668</v>
      </c>
    </row>
    <row r="701" spans="1:8" x14ac:dyDescent="0.2">
      <c r="A701" t="s">
        <v>16</v>
      </c>
      <c r="B701" t="s">
        <v>10</v>
      </c>
      <c r="C701">
        <v>1568</v>
      </c>
      <c r="D701" s="8">
        <v>5488000</v>
      </c>
      <c r="E701">
        <v>4076800</v>
      </c>
      <c r="F701">
        <v>1411200</v>
      </c>
      <c r="G701" s="1">
        <v>45670</v>
      </c>
      <c r="H701" s="7">
        <f>Table1[[#This Row],[Profit]]/Table1[[#This Row],[Revenue]] *100</f>
        <v>25.714285714285712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26"/>
  <sheetViews>
    <sheetView zoomScale="172" workbookViewId="0">
      <selection activeCell="C9" sqref="C9"/>
    </sheetView>
  </sheetViews>
  <sheetFormatPr defaultRowHeight="14.25" x14ac:dyDescent="0.2"/>
  <cols>
    <col min="1" max="1" width="10.625" bestFit="1" customWidth="1"/>
    <col min="2" max="2" width="17.25" bestFit="1" customWidth="1"/>
    <col min="3" max="3" width="8.75" bestFit="1" customWidth="1"/>
    <col min="4" max="5" width="9.875" bestFit="1" customWidth="1"/>
    <col min="6" max="6" width="8.875" bestFit="1" customWidth="1"/>
    <col min="7" max="7" width="17.625" style="1" bestFit="1" customWidth="1"/>
  </cols>
  <sheetData>
    <row r="1" spans="1:7" ht="15" x14ac:dyDescent="0.2">
      <c r="A1" s="2" t="s">
        <v>0</v>
      </c>
      <c r="B1" s="2" t="s">
        <v>1</v>
      </c>
      <c r="C1" s="2" t="s">
        <v>2</v>
      </c>
      <c r="D1" s="2" t="s">
        <v>3</v>
      </c>
      <c r="E1" s="2" t="s">
        <v>4</v>
      </c>
      <c r="F1" s="2" t="s">
        <v>5</v>
      </c>
      <c r="G1" s="3" t="s">
        <v>6</v>
      </c>
    </row>
    <row r="2" spans="1:7" x14ac:dyDescent="0.2">
      <c r="A2" t="s">
        <v>20</v>
      </c>
      <c r="B2" t="s">
        <v>14</v>
      </c>
      <c r="C2">
        <v>186</v>
      </c>
      <c r="D2">
        <v>223200</v>
      </c>
      <c r="E2">
        <v>148800</v>
      </c>
      <c r="F2">
        <v>74400</v>
      </c>
      <c r="G2" s="1">
        <v>46566</v>
      </c>
    </row>
    <row r="3" spans="1:7" x14ac:dyDescent="0.2">
      <c r="A3" t="s">
        <v>16</v>
      </c>
      <c r="B3" t="s">
        <v>10</v>
      </c>
      <c r="C3">
        <v>2518</v>
      </c>
      <c r="D3">
        <v>8813000</v>
      </c>
      <c r="E3">
        <v>6546800</v>
      </c>
      <c r="F3">
        <v>2266200</v>
      </c>
      <c r="G3" s="1">
        <v>46589</v>
      </c>
    </row>
    <row r="4" spans="1:7" x14ac:dyDescent="0.2">
      <c r="A4" t="s">
        <v>13</v>
      </c>
      <c r="B4" t="s">
        <v>23</v>
      </c>
      <c r="C4">
        <v>2171</v>
      </c>
      <c r="D4">
        <v>10855000</v>
      </c>
      <c r="E4">
        <v>9118200</v>
      </c>
      <c r="F4">
        <v>1736800</v>
      </c>
      <c r="G4" s="1">
        <v>46411</v>
      </c>
    </row>
    <row r="5" spans="1:7" x14ac:dyDescent="0.2">
      <c r="A5" t="s">
        <v>16</v>
      </c>
      <c r="B5" t="s">
        <v>10</v>
      </c>
      <c r="C5">
        <v>1686</v>
      </c>
      <c r="D5">
        <v>5901000</v>
      </c>
      <c r="E5">
        <v>4383600</v>
      </c>
      <c r="F5">
        <v>1517400</v>
      </c>
      <c r="G5" s="1">
        <v>46425</v>
      </c>
    </row>
    <row r="6" spans="1:7" x14ac:dyDescent="0.2">
      <c r="A6" t="s">
        <v>11</v>
      </c>
      <c r="B6" t="s">
        <v>17</v>
      </c>
      <c r="C6">
        <v>2268</v>
      </c>
      <c r="D6">
        <v>34020000</v>
      </c>
      <c r="E6">
        <v>24948000</v>
      </c>
      <c r="F6">
        <v>9072000</v>
      </c>
      <c r="G6" s="1">
        <v>46644</v>
      </c>
    </row>
    <row r="7" spans="1:7" x14ac:dyDescent="0.2">
      <c r="A7" t="s">
        <v>15</v>
      </c>
      <c r="B7" t="s">
        <v>17</v>
      </c>
      <c r="C7">
        <v>1801</v>
      </c>
      <c r="D7">
        <v>27015000</v>
      </c>
      <c r="E7">
        <v>19811000</v>
      </c>
      <c r="F7">
        <v>7204000</v>
      </c>
      <c r="G7" s="1">
        <v>46199</v>
      </c>
    </row>
    <row r="8" spans="1:7" x14ac:dyDescent="0.2">
      <c r="A8" t="s">
        <v>11</v>
      </c>
      <c r="B8" t="s">
        <v>10</v>
      </c>
      <c r="C8">
        <v>2267</v>
      </c>
      <c r="D8">
        <v>7934500</v>
      </c>
      <c r="E8">
        <v>5894200</v>
      </c>
      <c r="F8">
        <v>2040300</v>
      </c>
      <c r="G8" s="1">
        <v>46384</v>
      </c>
    </row>
    <row r="9" spans="1:7" x14ac:dyDescent="0.2">
      <c r="A9" t="s">
        <v>11</v>
      </c>
      <c r="B9" t="s">
        <v>14</v>
      </c>
      <c r="C9">
        <v>1837</v>
      </c>
      <c r="D9">
        <v>2204400</v>
      </c>
      <c r="E9">
        <v>1469600</v>
      </c>
      <c r="F9">
        <v>734800</v>
      </c>
      <c r="G9" s="1">
        <v>46306</v>
      </c>
    </row>
    <row r="10" spans="1:7" x14ac:dyDescent="0.2">
      <c r="A10" t="s">
        <v>22</v>
      </c>
      <c r="B10" t="s">
        <v>14</v>
      </c>
      <c r="C10">
        <v>921</v>
      </c>
      <c r="D10">
        <v>1105200</v>
      </c>
      <c r="E10">
        <v>736800</v>
      </c>
      <c r="F10">
        <v>368400</v>
      </c>
      <c r="G10" s="1">
        <v>46207</v>
      </c>
    </row>
    <row r="11" spans="1:7" x14ac:dyDescent="0.2">
      <c r="A11" t="s">
        <v>9</v>
      </c>
      <c r="B11" t="s">
        <v>10</v>
      </c>
      <c r="C11">
        <v>2419</v>
      </c>
      <c r="D11">
        <v>8466500</v>
      </c>
      <c r="E11">
        <v>6289400</v>
      </c>
      <c r="F11">
        <v>2177100</v>
      </c>
      <c r="G11" s="1">
        <v>46030</v>
      </c>
    </row>
    <row r="12" spans="1:7" x14ac:dyDescent="0.2">
      <c r="A12" t="s">
        <v>13</v>
      </c>
      <c r="B12" t="s">
        <v>23</v>
      </c>
      <c r="C12">
        <v>2553</v>
      </c>
      <c r="D12">
        <v>12765000</v>
      </c>
      <c r="E12">
        <v>10722600</v>
      </c>
      <c r="F12">
        <v>2042400</v>
      </c>
      <c r="G12" s="1">
        <v>46159</v>
      </c>
    </row>
    <row r="13" spans="1:7" x14ac:dyDescent="0.2">
      <c r="A13" t="s">
        <v>13</v>
      </c>
      <c r="B13" t="s">
        <v>12</v>
      </c>
      <c r="C13">
        <v>993</v>
      </c>
      <c r="D13">
        <v>1191600</v>
      </c>
      <c r="E13">
        <v>844050</v>
      </c>
      <c r="F13">
        <v>347550</v>
      </c>
      <c r="G13" s="1">
        <v>46174</v>
      </c>
    </row>
    <row r="14" spans="1:7" x14ac:dyDescent="0.2">
      <c r="A14" t="s">
        <v>11</v>
      </c>
      <c r="B14" t="s">
        <v>14</v>
      </c>
      <c r="C14">
        <v>1676</v>
      </c>
      <c r="D14">
        <v>2011200</v>
      </c>
      <c r="E14">
        <v>1340800</v>
      </c>
      <c r="F14">
        <v>670400</v>
      </c>
      <c r="G14" s="1">
        <v>46131</v>
      </c>
    </row>
    <row r="15" spans="1:7" x14ac:dyDescent="0.2">
      <c r="A15" t="s">
        <v>7</v>
      </c>
      <c r="B15" t="s">
        <v>19</v>
      </c>
      <c r="C15">
        <v>2887</v>
      </c>
      <c r="D15">
        <v>129915000</v>
      </c>
      <c r="E15">
        <v>109706000</v>
      </c>
      <c r="F15">
        <v>20209000</v>
      </c>
      <c r="G15" s="1">
        <v>46394</v>
      </c>
    </row>
    <row r="16" spans="1:7" x14ac:dyDescent="0.2">
      <c r="A16" t="s">
        <v>22</v>
      </c>
      <c r="B16" t="s">
        <v>17</v>
      </c>
      <c r="C16">
        <v>2710</v>
      </c>
      <c r="D16">
        <v>40650000</v>
      </c>
      <c r="E16">
        <v>29810000</v>
      </c>
      <c r="F16">
        <v>10840000</v>
      </c>
      <c r="G16" s="1">
        <v>46236</v>
      </c>
    </row>
    <row r="17" spans="1:7" x14ac:dyDescent="0.2">
      <c r="A17" t="s">
        <v>11</v>
      </c>
      <c r="B17" t="s">
        <v>10</v>
      </c>
      <c r="C17">
        <v>2986</v>
      </c>
      <c r="D17">
        <v>10451000</v>
      </c>
      <c r="E17">
        <v>7763600</v>
      </c>
      <c r="F17">
        <v>2687400</v>
      </c>
      <c r="G17" s="1">
        <v>46684</v>
      </c>
    </row>
    <row r="18" spans="1:7" x14ac:dyDescent="0.2">
      <c r="A18" t="s">
        <v>20</v>
      </c>
      <c r="B18" t="s">
        <v>19</v>
      </c>
      <c r="C18">
        <v>398</v>
      </c>
      <c r="D18">
        <v>17910000</v>
      </c>
      <c r="E18">
        <v>15124000</v>
      </c>
      <c r="F18">
        <v>2786000</v>
      </c>
      <c r="G18" s="1">
        <v>46390</v>
      </c>
    </row>
    <row r="19" spans="1:7" x14ac:dyDescent="0.2">
      <c r="A19" t="s">
        <v>15</v>
      </c>
      <c r="B19" t="s">
        <v>10</v>
      </c>
      <c r="C19">
        <v>1726</v>
      </c>
      <c r="D19">
        <v>6041000</v>
      </c>
      <c r="E19">
        <v>4487600</v>
      </c>
      <c r="F19">
        <v>1553400</v>
      </c>
      <c r="G19" s="1">
        <v>46652</v>
      </c>
    </row>
    <row r="20" spans="1:7" x14ac:dyDescent="0.2">
      <c r="A20" t="s">
        <v>9</v>
      </c>
      <c r="B20" t="s">
        <v>8</v>
      </c>
      <c r="C20">
        <v>1246</v>
      </c>
      <c r="D20">
        <v>3738000</v>
      </c>
      <c r="E20">
        <v>2242800</v>
      </c>
      <c r="F20">
        <v>1495200</v>
      </c>
      <c r="G20" s="1">
        <v>46283</v>
      </c>
    </row>
    <row r="21" spans="1:7" x14ac:dyDescent="0.2">
      <c r="A21" t="s">
        <v>18</v>
      </c>
      <c r="B21" t="s">
        <v>17</v>
      </c>
      <c r="C21">
        <v>59</v>
      </c>
      <c r="D21">
        <v>885000</v>
      </c>
      <c r="E21">
        <v>649000</v>
      </c>
      <c r="F21">
        <v>236000</v>
      </c>
      <c r="G21" s="1">
        <v>46421</v>
      </c>
    </row>
    <row r="22" spans="1:7" x14ac:dyDescent="0.2">
      <c r="A22" t="s">
        <v>20</v>
      </c>
      <c r="B22" t="s">
        <v>17</v>
      </c>
      <c r="C22">
        <v>2837</v>
      </c>
      <c r="D22">
        <v>42555000</v>
      </c>
      <c r="E22">
        <v>31207000</v>
      </c>
      <c r="F22">
        <v>11348000</v>
      </c>
      <c r="G22" s="1">
        <v>46109</v>
      </c>
    </row>
    <row r="23" spans="1:7" x14ac:dyDescent="0.2">
      <c r="A23" t="s">
        <v>7</v>
      </c>
      <c r="B23" t="s">
        <v>14</v>
      </c>
      <c r="C23">
        <v>1511</v>
      </c>
      <c r="D23">
        <v>1813200</v>
      </c>
      <c r="E23">
        <v>1208800</v>
      </c>
      <c r="F23">
        <v>604400</v>
      </c>
      <c r="G23" s="1">
        <v>46664</v>
      </c>
    </row>
    <row r="24" spans="1:7" x14ac:dyDescent="0.2">
      <c r="A24" t="s">
        <v>16</v>
      </c>
      <c r="B24" t="s">
        <v>14</v>
      </c>
      <c r="C24">
        <v>716</v>
      </c>
      <c r="D24">
        <v>859200</v>
      </c>
      <c r="E24">
        <v>572800</v>
      </c>
      <c r="F24">
        <v>286400</v>
      </c>
      <c r="G24" s="1">
        <v>46098</v>
      </c>
    </row>
    <row r="25" spans="1:7" x14ac:dyDescent="0.2">
      <c r="A25" t="s">
        <v>16</v>
      </c>
      <c r="B25" t="s">
        <v>19</v>
      </c>
      <c r="C25">
        <v>2643</v>
      </c>
      <c r="D25">
        <v>118935000</v>
      </c>
      <c r="E25">
        <v>100434000</v>
      </c>
      <c r="F25">
        <v>18501000</v>
      </c>
      <c r="G25" s="1">
        <v>46493</v>
      </c>
    </row>
    <row r="26" spans="1:7" x14ac:dyDescent="0.2">
      <c r="A26" t="s">
        <v>20</v>
      </c>
      <c r="B26" t="s">
        <v>8</v>
      </c>
      <c r="C26">
        <v>1572</v>
      </c>
      <c r="D26">
        <v>4716000</v>
      </c>
      <c r="E26">
        <v>2829600</v>
      </c>
      <c r="F26">
        <v>1886400</v>
      </c>
      <c r="G26" s="1">
        <v>46436</v>
      </c>
    </row>
    <row r="27" spans="1:7" x14ac:dyDescent="0.2">
      <c r="A27" t="s">
        <v>11</v>
      </c>
      <c r="B27" t="s">
        <v>10</v>
      </c>
      <c r="C27">
        <v>2226</v>
      </c>
      <c r="D27">
        <v>7791000</v>
      </c>
      <c r="E27">
        <v>5787600</v>
      </c>
      <c r="F27">
        <v>2003400</v>
      </c>
      <c r="G27" s="1">
        <v>46748</v>
      </c>
    </row>
    <row r="28" spans="1:7" x14ac:dyDescent="0.2">
      <c r="A28" t="s">
        <v>18</v>
      </c>
      <c r="B28" t="s">
        <v>8</v>
      </c>
      <c r="C28">
        <v>650</v>
      </c>
      <c r="D28">
        <v>1950000</v>
      </c>
      <c r="E28">
        <v>1170000</v>
      </c>
      <c r="F28">
        <v>780000</v>
      </c>
      <c r="G28" s="1">
        <v>46422</v>
      </c>
    </row>
    <row r="29" spans="1:7" x14ac:dyDescent="0.2">
      <c r="A29" t="s">
        <v>21</v>
      </c>
      <c r="B29" t="s">
        <v>17</v>
      </c>
      <c r="C29">
        <v>2702</v>
      </c>
      <c r="D29">
        <v>40530000</v>
      </c>
      <c r="E29">
        <v>29722000</v>
      </c>
      <c r="F29">
        <v>10808000</v>
      </c>
      <c r="G29" s="1">
        <v>46366</v>
      </c>
    </row>
    <row r="30" spans="1:7" x14ac:dyDescent="0.2">
      <c r="A30" t="s">
        <v>21</v>
      </c>
      <c r="B30" t="s">
        <v>19</v>
      </c>
      <c r="C30">
        <v>376</v>
      </c>
      <c r="D30">
        <v>16920000</v>
      </c>
      <c r="E30">
        <v>14288000</v>
      </c>
      <c r="F30">
        <v>2632000</v>
      </c>
      <c r="G30" s="1">
        <v>46261</v>
      </c>
    </row>
    <row r="31" spans="1:7" x14ac:dyDescent="0.2">
      <c r="A31" t="s">
        <v>7</v>
      </c>
      <c r="B31" t="s">
        <v>12</v>
      </c>
      <c r="C31">
        <v>1029</v>
      </c>
      <c r="D31">
        <v>1234800</v>
      </c>
      <c r="E31">
        <v>874650</v>
      </c>
      <c r="F31">
        <v>360150</v>
      </c>
      <c r="G31" s="1">
        <v>46610</v>
      </c>
    </row>
    <row r="32" spans="1:7" x14ac:dyDescent="0.2">
      <c r="A32" t="s">
        <v>11</v>
      </c>
      <c r="B32" t="s">
        <v>19</v>
      </c>
      <c r="C32">
        <v>2501</v>
      </c>
      <c r="D32">
        <v>112545000</v>
      </c>
      <c r="E32">
        <v>95038000</v>
      </c>
      <c r="F32">
        <v>17507000</v>
      </c>
      <c r="G32" s="1">
        <v>46621</v>
      </c>
    </row>
    <row r="33" spans="1:7" x14ac:dyDescent="0.2">
      <c r="A33" t="s">
        <v>13</v>
      </c>
      <c r="B33" t="s">
        <v>23</v>
      </c>
      <c r="C33">
        <v>678</v>
      </c>
      <c r="D33">
        <v>3390000</v>
      </c>
      <c r="E33">
        <v>2847600</v>
      </c>
      <c r="F33">
        <v>542400</v>
      </c>
      <c r="G33" s="1">
        <v>46675</v>
      </c>
    </row>
    <row r="34" spans="1:7" x14ac:dyDescent="0.2">
      <c r="A34" t="s">
        <v>13</v>
      </c>
      <c r="B34" t="s">
        <v>19</v>
      </c>
      <c r="C34">
        <v>1679</v>
      </c>
      <c r="D34">
        <v>75555000</v>
      </c>
      <c r="E34">
        <v>63802000</v>
      </c>
      <c r="F34">
        <v>11753000</v>
      </c>
      <c r="G34" s="1">
        <v>46457</v>
      </c>
    </row>
    <row r="35" spans="1:7" x14ac:dyDescent="0.2">
      <c r="A35" t="s">
        <v>9</v>
      </c>
      <c r="B35" t="s">
        <v>8</v>
      </c>
      <c r="C35">
        <v>2815</v>
      </c>
      <c r="D35">
        <v>8445000</v>
      </c>
      <c r="E35">
        <v>5067000</v>
      </c>
      <c r="F35">
        <v>3378000</v>
      </c>
      <c r="G35" s="1">
        <v>46728</v>
      </c>
    </row>
    <row r="36" spans="1:7" x14ac:dyDescent="0.2">
      <c r="A36" t="s">
        <v>18</v>
      </c>
      <c r="B36" t="s">
        <v>23</v>
      </c>
      <c r="C36">
        <v>323</v>
      </c>
      <c r="D36">
        <v>1615000</v>
      </c>
      <c r="E36">
        <v>1356600</v>
      </c>
      <c r="F36">
        <v>258400</v>
      </c>
      <c r="G36" s="1">
        <v>46569</v>
      </c>
    </row>
    <row r="37" spans="1:7" x14ac:dyDescent="0.2">
      <c r="A37" t="s">
        <v>18</v>
      </c>
      <c r="B37" t="s">
        <v>23</v>
      </c>
      <c r="C37">
        <v>734</v>
      </c>
      <c r="D37">
        <v>3670000</v>
      </c>
      <c r="E37">
        <v>3082800</v>
      </c>
      <c r="F37">
        <v>587200</v>
      </c>
      <c r="G37" s="1">
        <v>46665</v>
      </c>
    </row>
    <row r="38" spans="1:7" x14ac:dyDescent="0.2">
      <c r="A38" t="s">
        <v>16</v>
      </c>
      <c r="B38" t="s">
        <v>23</v>
      </c>
      <c r="C38">
        <v>165</v>
      </c>
      <c r="D38">
        <v>825000</v>
      </c>
      <c r="E38">
        <v>693000</v>
      </c>
      <c r="F38">
        <v>132000</v>
      </c>
      <c r="G38" s="1">
        <v>46646</v>
      </c>
    </row>
    <row r="39" spans="1:7" x14ac:dyDescent="0.2">
      <c r="A39" t="s">
        <v>22</v>
      </c>
      <c r="B39" t="s">
        <v>12</v>
      </c>
      <c r="C39">
        <v>910</v>
      </c>
      <c r="D39">
        <v>1092000</v>
      </c>
      <c r="E39">
        <v>773500</v>
      </c>
      <c r="F39">
        <v>318500</v>
      </c>
      <c r="G39" s="1">
        <v>46067</v>
      </c>
    </row>
    <row r="40" spans="1:7" x14ac:dyDescent="0.2">
      <c r="A40" t="s">
        <v>7</v>
      </c>
      <c r="B40" t="s">
        <v>19</v>
      </c>
      <c r="C40">
        <v>2053</v>
      </c>
      <c r="D40">
        <v>92385000</v>
      </c>
      <c r="E40">
        <v>78014000</v>
      </c>
      <c r="F40">
        <v>14371000</v>
      </c>
      <c r="G40" s="1">
        <v>46509</v>
      </c>
    </row>
    <row r="41" spans="1:7" x14ac:dyDescent="0.2">
      <c r="A41" t="s">
        <v>21</v>
      </c>
      <c r="B41" t="s">
        <v>8</v>
      </c>
      <c r="C41">
        <v>742</v>
      </c>
      <c r="D41">
        <v>2226000</v>
      </c>
      <c r="E41">
        <v>1335600</v>
      </c>
      <c r="F41">
        <v>890400</v>
      </c>
      <c r="G41" s="1">
        <v>46121</v>
      </c>
    </row>
    <row r="42" spans="1:7" x14ac:dyDescent="0.2">
      <c r="A42" t="s">
        <v>7</v>
      </c>
      <c r="B42" t="s">
        <v>19</v>
      </c>
      <c r="C42">
        <v>1155</v>
      </c>
      <c r="D42">
        <v>51975000</v>
      </c>
      <c r="E42">
        <v>43890000</v>
      </c>
      <c r="F42">
        <v>8085000</v>
      </c>
      <c r="G42" s="1">
        <v>46608</v>
      </c>
    </row>
    <row r="43" spans="1:7" x14ac:dyDescent="0.2">
      <c r="A43" t="s">
        <v>13</v>
      </c>
      <c r="B43" t="s">
        <v>12</v>
      </c>
      <c r="C43">
        <v>2421</v>
      </c>
      <c r="D43">
        <v>2905200</v>
      </c>
      <c r="E43">
        <v>2057850</v>
      </c>
      <c r="F43">
        <v>847350</v>
      </c>
      <c r="G43" s="1">
        <v>46619</v>
      </c>
    </row>
    <row r="44" spans="1:7" x14ac:dyDescent="0.2">
      <c r="A44" t="s">
        <v>13</v>
      </c>
      <c r="B44" t="s">
        <v>17</v>
      </c>
      <c r="C44">
        <v>2211</v>
      </c>
      <c r="D44">
        <v>33165000</v>
      </c>
      <c r="E44">
        <v>24321000</v>
      </c>
      <c r="F44">
        <v>8844000</v>
      </c>
      <c r="G44" s="1">
        <v>46472</v>
      </c>
    </row>
    <row r="45" spans="1:7" x14ac:dyDescent="0.2">
      <c r="A45" t="s">
        <v>20</v>
      </c>
      <c r="B45" t="s">
        <v>14</v>
      </c>
      <c r="C45">
        <v>1842</v>
      </c>
      <c r="D45">
        <v>2210400</v>
      </c>
      <c r="E45">
        <v>1473600</v>
      </c>
      <c r="F45">
        <v>736800</v>
      </c>
      <c r="G45" s="1">
        <v>46507</v>
      </c>
    </row>
    <row r="46" spans="1:7" x14ac:dyDescent="0.2">
      <c r="A46" t="s">
        <v>9</v>
      </c>
      <c r="B46" t="s">
        <v>8</v>
      </c>
      <c r="C46">
        <v>203</v>
      </c>
      <c r="D46">
        <v>609000</v>
      </c>
      <c r="E46">
        <v>365400</v>
      </c>
      <c r="F46">
        <v>243600</v>
      </c>
      <c r="G46" s="1">
        <v>46609</v>
      </c>
    </row>
    <row r="47" spans="1:7" x14ac:dyDescent="0.2">
      <c r="A47" t="s">
        <v>18</v>
      </c>
      <c r="B47" t="s">
        <v>8</v>
      </c>
      <c r="C47">
        <v>1950</v>
      </c>
      <c r="D47">
        <v>5850000</v>
      </c>
      <c r="E47">
        <v>3510000</v>
      </c>
      <c r="F47">
        <v>2340000</v>
      </c>
      <c r="G47" s="1">
        <v>46730</v>
      </c>
    </row>
    <row r="48" spans="1:7" x14ac:dyDescent="0.2">
      <c r="A48" t="s">
        <v>15</v>
      </c>
      <c r="B48" t="s">
        <v>19</v>
      </c>
      <c r="C48">
        <v>1477</v>
      </c>
      <c r="D48">
        <v>66465000</v>
      </c>
      <c r="E48">
        <v>56126000</v>
      </c>
      <c r="F48">
        <v>10339000</v>
      </c>
      <c r="G48" s="1">
        <v>46040</v>
      </c>
    </row>
    <row r="49" spans="1:7" x14ac:dyDescent="0.2">
      <c r="A49" t="s">
        <v>7</v>
      </c>
      <c r="B49" t="s">
        <v>14</v>
      </c>
      <c r="C49">
        <v>1339</v>
      </c>
      <c r="D49">
        <v>1606800</v>
      </c>
      <c r="E49">
        <v>1071200</v>
      </c>
      <c r="F49">
        <v>535600</v>
      </c>
      <c r="G49" s="1">
        <v>46628</v>
      </c>
    </row>
    <row r="50" spans="1:7" x14ac:dyDescent="0.2">
      <c r="A50" t="s">
        <v>13</v>
      </c>
      <c r="B50" t="s">
        <v>10</v>
      </c>
      <c r="C50">
        <v>364</v>
      </c>
      <c r="D50">
        <v>1274000</v>
      </c>
      <c r="E50">
        <v>946400</v>
      </c>
      <c r="F50">
        <v>327600</v>
      </c>
      <c r="G50" s="1">
        <v>46684</v>
      </c>
    </row>
    <row r="51" spans="1:7" x14ac:dyDescent="0.2">
      <c r="A51" t="s">
        <v>22</v>
      </c>
      <c r="B51" t="s">
        <v>10</v>
      </c>
      <c r="C51">
        <v>1114</v>
      </c>
      <c r="D51">
        <v>3899000</v>
      </c>
      <c r="E51">
        <v>2896400</v>
      </c>
      <c r="F51">
        <v>1002600</v>
      </c>
      <c r="G51" s="1">
        <v>46311</v>
      </c>
    </row>
    <row r="52" spans="1:7" x14ac:dyDescent="0.2">
      <c r="A52" t="s">
        <v>16</v>
      </c>
      <c r="B52" t="s">
        <v>12</v>
      </c>
      <c r="C52">
        <v>154</v>
      </c>
      <c r="D52">
        <v>184800</v>
      </c>
      <c r="E52">
        <v>130900</v>
      </c>
      <c r="F52">
        <v>53900</v>
      </c>
      <c r="G52" s="1">
        <v>46436</v>
      </c>
    </row>
    <row r="53" spans="1:7" x14ac:dyDescent="0.2">
      <c r="A53" t="s">
        <v>21</v>
      </c>
      <c r="B53" t="s">
        <v>10</v>
      </c>
      <c r="C53">
        <v>1974</v>
      </c>
      <c r="D53">
        <v>6909000</v>
      </c>
      <c r="E53">
        <v>5132400</v>
      </c>
      <c r="F53">
        <v>1776600</v>
      </c>
      <c r="G53" s="1">
        <v>46743</v>
      </c>
    </row>
    <row r="54" spans="1:7" x14ac:dyDescent="0.2">
      <c r="A54" t="s">
        <v>9</v>
      </c>
      <c r="B54" t="s">
        <v>8</v>
      </c>
      <c r="C54">
        <v>1963</v>
      </c>
      <c r="D54">
        <v>5889000</v>
      </c>
      <c r="E54">
        <v>3533400</v>
      </c>
      <c r="F54">
        <v>2355600</v>
      </c>
      <c r="G54" s="1">
        <v>46660</v>
      </c>
    </row>
    <row r="55" spans="1:7" x14ac:dyDescent="0.2">
      <c r="A55" t="s">
        <v>22</v>
      </c>
      <c r="B55" t="s">
        <v>10</v>
      </c>
      <c r="C55">
        <v>1266</v>
      </c>
      <c r="D55">
        <v>4431000</v>
      </c>
      <c r="E55">
        <v>3291600</v>
      </c>
      <c r="F55">
        <v>1139400</v>
      </c>
      <c r="G55" s="1">
        <v>46257</v>
      </c>
    </row>
    <row r="56" spans="1:7" x14ac:dyDescent="0.2">
      <c r="A56" t="s">
        <v>9</v>
      </c>
      <c r="B56" t="s">
        <v>17</v>
      </c>
      <c r="C56">
        <v>1474</v>
      </c>
      <c r="D56">
        <v>22110000</v>
      </c>
      <c r="E56">
        <v>16214000</v>
      </c>
      <c r="F56">
        <v>5896000</v>
      </c>
      <c r="G56" s="1">
        <v>46438</v>
      </c>
    </row>
    <row r="57" spans="1:7" x14ac:dyDescent="0.2">
      <c r="A57" t="s">
        <v>20</v>
      </c>
      <c r="B57" t="s">
        <v>17</v>
      </c>
      <c r="C57">
        <v>2451</v>
      </c>
      <c r="D57">
        <v>36765000</v>
      </c>
      <c r="E57">
        <v>26961000</v>
      </c>
      <c r="F57">
        <v>9804000</v>
      </c>
      <c r="G57" s="1">
        <v>46521</v>
      </c>
    </row>
    <row r="58" spans="1:7" x14ac:dyDescent="0.2">
      <c r="A58" t="s">
        <v>15</v>
      </c>
      <c r="B58" t="s">
        <v>17</v>
      </c>
      <c r="C58">
        <v>1822</v>
      </c>
      <c r="D58">
        <v>27330000</v>
      </c>
      <c r="E58">
        <v>20042000</v>
      </c>
      <c r="F58">
        <v>7288000</v>
      </c>
      <c r="G58" s="1">
        <v>46656</v>
      </c>
    </row>
    <row r="59" spans="1:7" x14ac:dyDescent="0.2">
      <c r="A59" t="s">
        <v>13</v>
      </c>
      <c r="B59" t="s">
        <v>10</v>
      </c>
      <c r="C59">
        <v>2010</v>
      </c>
      <c r="D59">
        <v>7035000</v>
      </c>
      <c r="E59">
        <v>5226000</v>
      </c>
      <c r="F59">
        <v>1809000</v>
      </c>
      <c r="G59" s="1">
        <v>46731</v>
      </c>
    </row>
    <row r="60" spans="1:7" x14ac:dyDescent="0.2">
      <c r="A60" t="s">
        <v>16</v>
      </c>
      <c r="B60" t="s">
        <v>12</v>
      </c>
      <c r="C60">
        <v>2830</v>
      </c>
      <c r="D60">
        <v>3396000</v>
      </c>
      <c r="E60">
        <v>2405500</v>
      </c>
      <c r="F60">
        <v>990500</v>
      </c>
      <c r="G60" s="1">
        <v>46137</v>
      </c>
    </row>
    <row r="61" spans="1:7" x14ac:dyDescent="0.2">
      <c r="A61" t="s">
        <v>22</v>
      </c>
      <c r="B61" t="s">
        <v>23</v>
      </c>
      <c r="C61">
        <v>1653</v>
      </c>
      <c r="D61">
        <v>8265000</v>
      </c>
      <c r="E61">
        <v>6942600</v>
      </c>
      <c r="F61">
        <v>1322400</v>
      </c>
      <c r="G61" s="1">
        <v>46518</v>
      </c>
    </row>
    <row r="62" spans="1:7" x14ac:dyDescent="0.2">
      <c r="A62" t="s">
        <v>9</v>
      </c>
      <c r="B62" t="s">
        <v>23</v>
      </c>
      <c r="C62">
        <v>758</v>
      </c>
      <c r="D62">
        <v>3790000</v>
      </c>
      <c r="E62">
        <v>3183600</v>
      </c>
      <c r="F62">
        <v>606400</v>
      </c>
      <c r="G62" s="1">
        <v>46735</v>
      </c>
    </row>
    <row r="63" spans="1:7" x14ac:dyDescent="0.2">
      <c r="A63" t="s">
        <v>18</v>
      </c>
      <c r="B63" t="s">
        <v>14</v>
      </c>
      <c r="C63">
        <v>700</v>
      </c>
      <c r="D63">
        <v>840000</v>
      </c>
      <c r="E63">
        <v>560000</v>
      </c>
      <c r="F63">
        <v>280000</v>
      </c>
      <c r="G63" s="1">
        <v>46256</v>
      </c>
    </row>
    <row r="64" spans="1:7" x14ac:dyDescent="0.2">
      <c r="A64" t="s">
        <v>20</v>
      </c>
      <c r="B64" t="s">
        <v>23</v>
      </c>
      <c r="C64">
        <v>2921</v>
      </c>
      <c r="D64">
        <v>14605000</v>
      </c>
      <c r="E64">
        <v>12268200</v>
      </c>
      <c r="F64">
        <v>2336800</v>
      </c>
      <c r="G64" s="1">
        <v>46562</v>
      </c>
    </row>
    <row r="65" spans="1:7" x14ac:dyDescent="0.2">
      <c r="A65" t="s">
        <v>18</v>
      </c>
      <c r="B65" t="s">
        <v>23</v>
      </c>
      <c r="C65">
        <v>996</v>
      </c>
      <c r="D65">
        <v>4980000</v>
      </c>
      <c r="E65">
        <v>4183200</v>
      </c>
      <c r="F65">
        <v>796800</v>
      </c>
      <c r="G65" s="1">
        <v>46327</v>
      </c>
    </row>
    <row r="66" spans="1:7" x14ac:dyDescent="0.2">
      <c r="A66" t="s">
        <v>16</v>
      </c>
      <c r="B66" t="s">
        <v>17</v>
      </c>
      <c r="C66">
        <v>710</v>
      </c>
      <c r="D66">
        <v>10650000</v>
      </c>
      <c r="E66">
        <v>7810000</v>
      </c>
      <c r="F66">
        <v>2840000</v>
      </c>
      <c r="G66" s="1">
        <v>46228</v>
      </c>
    </row>
    <row r="67" spans="1:7" x14ac:dyDescent="0.2">
      <c r="A67" t="s">
        <v>22</v>
      </c>
      <c r="B67" t="s">
        <v>17</v>
      </c>
      <c r="C67">
        <v>2196</v>
      </c>
      <c r="D67">
        <v>32940000</v>
      </c>
      <c r="E67">
        <v>24156000</v>
      </c>
      <c r="F67">
        <v>8784000</v>
      </c>
      <c r="G67" s="1">
        <v>46671</v>
      </c>
    </row>
    <row r="68" spans="1:7" x14ac:dyDescent="0.2">
      <c r="A68" t="s">
        <v>20</v>
      </c>
      <c r="B68" t="s">
        <v>10</v>
      </c>
      <c r="C68">
        <v>2685</v>
      </c>
      <c r="D68">
        <v>9397500</v>
      </c>
      <c r="E68">
        <v>6981000</v>
      </c>
      <c r="F68">
        <v>2416500</v>
      </c>
      <c r="G68" s="1">
        <v>46121</v>
      </c>
    </row>
    <row r="69" spans="1:7" x14ac:dyDescent="0.2">
      <c r="A69" t="s">
        <v>22</v>
      </c>
      <c r="B69" t="s">
        <v>14</v>
      </c>
      <c r="C69">
        <v>2379</v>
      </c>
      <c r="D69">
        <v>2854800</v>
      </c>
      <c r="E69">
        <v>1903200</v>
      </c>
      <c r="F69">
        <v>951600</v>
      </c>
      <c r="G69" s="1">
        <v>46581</v>
      </c>
    </row>
    <row r="70" spans="1:7" x14ac:dyDescent="0.2">
      <c r="A70" t="s">
        <v>13</v>
      </c>
      <c r="B70" t="s">
        <v>19</v>
      </c>
      <c r="C70">
        <v>2500</v>
      </c>
      <c r="D70">
        <v>112500000</v>
      </c>
      <c r="E70">
        <v>95000000</v>
      </c>
      <c r="F70">
        <v>17500000</v>
      </c>
      <c r="G70" s="1">
        <v>46208</v>
      </c>
    </row>
    <row r="71" spans="1:7" x14ac:dyDescent="0.2">
      <c r="A71" t="s">
        <v>11</v>
      </c>
      <c r="B71" t="s">
        <v>8</v>
      </c>
      <c r="C71">
        <v>1182</v>
      </c>
      <c r="D71">
        <v>3546000</v>
      </c>
      <c r="E71">
        <v>2127600</v>
      </c>
      <c r="F71">
        <v>1418400</v>
      </c>
      <c r="G71" s="1">
        <v>46169</v>
      </c>
    </row>
    <row r="72" spans="1:7" x14ac:dyDescent="0.2">
      <c r="A72" t="s">
        <v>20</v>
      </c>
      <c r="B72" t="s">
        <v>14</v>
      </c>
      <c r="C72">
        <v>749</v>
      </c>
      <c r="D72">
        <v>898800</v>
      </c>
      <c r="E72">
        <v>599200</v>
      </c>
      <c r="F72">
        <v>299600</v>
      </c>
      <c r="G72" s="1">
        <v>46140</v>
      </c>
    </row>
    <row r="73" spans="1:7" x14ac:dyDescent="0.2">
      <c r="A73" t="s">
        <v>18</v>
      </c>
      <c r="B73" t="s">
        <v>14</v>
      </c>
      <c r="C73">
        <v>2296</v>
      </c>
      <c r="D73">
        <v>2755200</v>
      </c>
      <c r="E73">
        <v>1836800</v>
      </c>
      <c r="F73">
        <v>918400</v>
      </c>
      <c r="G73" s="1">
        <v>46404</v>
      </c>
    </row>
    <row r="74" spans="1:7" x14ac:dyDescent="0.2">
      <c r="A74" t="s">
        <v>16</v>
      </c>
      <c r="B74" t="s">
        <v>12</v>
      </c>
      <c r="C74">
        <v>2088</v>
      </c>
      <c r="D74">
        <v>2505600</v>
      </c>
      <c r="E74">
        <v>1774800</v>
      </c>
      <c r="F74">
        <v>730800</v>
      </c>
      <c r="G74" s="1">
        <v>46434</v>
      </c>
    </row>
    <row r="75" spans="1:7" x14ac:dyDescent="0.2">
      <c r="A75" t="s">
        <v>15</v>
      </c>
      <c r="B75" t="s">
        <v>10</v>
      </c>
      <c r="C75">
        <v>2424</v>
      </c>
      <c r="D75">
        <v>8484000</v>
      </c>
      <c r="E75">
        <v>6302400</v>
      </c>
      <c r="F75">
        <v>2181600</v>
      </c>
      <c r="G75" s="1">
        <v>46686</v>
      </c>
    </row>
    <row r="76" spans="1:7" x14ac:dyDescent="0.2">
      <c r="A76" t="s">
        <v>13</v>
      </c>
      <c r="B76" t="s">
        <v>12</v>
      </c>
      <c r="C76">
        <v>2251</v>
      </c>
      <c r="D76">
        <v>2701200</v>
      </c>
      <c r="E76">
        <v>1913350</v>
      </c>
      <c r="F76">
        <v>787850</v>
      </c>
      <c r="G76" s="1">
        <v>46576</v>
      </c>
    </row>
    <row r="77" spans="1:7" x14ac:dyDescent="0.2">
      <c r="A77" t="s">
        <v>11</v>
      </c>
      <c r="B77" t="s">
        <v>14</v>
      </c>
      <c r="C77">
        <v>601</v>
      </c>
      <c r="D77">
        <v>721200</v>
      </c>
      <c r="E77">
        <v>480800</v>
      </c>
      <c r="F77">
        <v>240400</v>
      </c>
      <c r="G77" s="1">
        <v>46385</v>
      </c>
    </row>
    <row r="78" spans="1:7" x14ac:dyDescent="0.2">
      <c r="A78" t="s">
        <v>15</v>
      </c>
      <c r="B78" t="s">
        <v>14</v>
      </c>
      <c r="C78">
        <v>454</v>
      </c>
      <c r="D78">
        <v>544800</v>
      </c>
      <c r="E78">
        <v>363200</v>
      </c>
      <c r="F78">
        <v>181600</v>
      </c>
      <c r="G78" s="1">
        <v>46531</v>
      </c>
    </row>
    <row r="79" spans="1:7" x14ac:dyDescent="0.2">
      <c r="A79" t="s">
        <v>21</v>
      </c>
      <c r="B79" t="s">
        <v>14</v>
      </c>
      <c r="C79">
        <v>511</v>
      </c>
      <c r="D79">
        <v>613200</v>
      </c>
      <c r="E79">
        <v>408800</v>
      </c>
      <c r="F79">
        <v>204400</v>
      </c>
      <c r="G79" s="1">
        <v>46159</v>
      </c>
    </row>
    <row r="80" spans="1:7" x14ac:dyDescent="0.2">
      <c r="A80" t="s">
        <v>13</v>
      </c>
      <c r="B80" t="s">
        <v>23</v>
      </c>
      <c r="C80">
        <v>2229</v>
      </c>
      <c r="D80">
        <v>11145000</v>
      </c>
      <c r="E80">
        <v>9361800</v>
      </c>
      <c r="F80">
        <v>1783200</v>
      </c>
      <c r="G80" s="1">
        <v>46197</v>
      </c>
    </row>
    <row r="81" spans="1:7" x14ac:dyDescent="0.2">
      <c r="A81" t="s">
        <v>16</v>
      </c>
      <c r="B81" t="s">
        <v>8</v>
      </c>
      <c r="C81">
        <v>2888</v>
      </c>
      <c r="D81">
        <v>8664000</v>
      </c>
      <c r="E81">
        <v>5198400</v>
      </c>
      <c r="F81">
        <v>3465600</v>
      </c>
      <c r="G81" s="1">
        <v>46311</v>
      </c>
    </row>
    <row r="82" spans="1:7" x14ac:dyDescent="0.2">
      <c r="A82" t="s">
        <v>9</v>
      </c>
      <c r="B82" t="s">
        <v>8</v>
      </c>
      <c r="C82">
        <v>923</v>
      </c>
      <c r="D82">
        <v>2769000</v>
      </c>
      <c r="E82">
        <v>1661400</v>
      </c>
      <c r="F82">
        <v>1107600</v>
      </c>
      <c r="G82" s="1">
        <v>46503</v>
      </c>
    </row>
    <row r="83" spans="1:7" x14ac:dyDescent="0.2">
      <c r="A83" t="s">
        <v>20</v>
      </c>
      <c r="B83" t="s">
        <v>12</v>
      </c>
      <c r="C83">
        <v>133</v>
      </c>
      <c r="D83">
        <v>159600</v>
      </c>
      <c r="E83">
        <v>113050</v>
      </c>
      <c r="F83">
        <v>46550</v>
      </c>
      <c r="G83" s="1">
        <v>46041</v>
      </c>
    </row>
    <row r="84" spans="1:7" x14ac:dyDescent="0.2">
      <c r="A84" t="s">
        <v>22</v>
      </c>
      <c r="B84" t="s">
        <v>14</v>
      </c>
      <c r="C84">
        <v>1472</v>
      </c>
      <c r="D84">
        <v>1766400</v>
      </c>
      <c r="E84">
        <v>1177600</v>
      </c>
      <c r="F84">
        <v>588800</v>
      </c>
      <c r="G84" s="1">
        <v>46217</v>
      </c>
    </row>
    <row r="85" spans="1:7" x14ac:dyDescent="0.2">
      <c r="A85" t="s">
        <v>16</v>
      </c>
      <c r="B85" t="s">
        <v>8</v>
      </c>
      <c r="C85">
        <v>2851</v>
      </c>
      <c r="D85">
        <v>8553000</v>
      </c>
      <c r="E85">
        <v>5131800</v>
      </c>
      <c r="F85">
        <v>3421200</v>
      </c>
      <c r="G85" s="1">
        <v>46352</v>
      </c>
    </row>
    <row r="86" spans="1:7" x14ac:dyDescent="0.2">
      <c r="A86" t="s">
        <v>20</v>
      </c>
      <c r="B86" t="s">
        <v>17</v>
      </c>
      <c r="C86">
        <v>2725</v>
      </c>
      <c r="D86">
        <v>40875000</v>
      </c>
      <c r="E86">
        <v>29975000</v>
      </c>
      <c r="F86">
        <v>10900000</v>
      </c>
      <c r="G86" s="1">
        <v>46197</v>
      </c>
    </row>
    <row r="87" spans="1:7" x14ac:dyDescent="0.2">
      <c r="A87" t="s">
        <v>15</v>
      </c>
      <c r="B87" t="s">
        <v>8</v>
      </c>
      <c r="C87">
        <v>270</v>
      </c>
      <c r="D87">
        <v>810000</v>
      </c>
      <c r="E87">
        <v>486000</v>
      </c>
      <c r="F87">
        <v>324000</v>
      </c>
      <c r="G87" s="1">
        <v>46471</v>
      </c>
    </row>
    <row r="88" spans="1:7" x14ac:dyDescent="0.2">
      <c r="A88" t="s">
        <v>22</v>
      </c>
      <c r="B88" t="s">
        <v>10</v>
      </c>
      <c r="C88">
        <v>2650</v>
      </c>
      <c r="D88">
        <v>9275000</v>
      </c>
      <c r="E88">
        <v>6890000</v>
      </c>
      <c r="F88">
        <v>2385000</v>
      </c>
      <c r="G88" s="1">
        <v>46376</v>
      </c>
    </row>
    <row r="89" spans="1:7" x14ac:dyDescent="0.2">
      <c r="A89" t="s">
        <v>7</v>
      </c>
      <c r="B89" t="s">
        <v>10</v>
      </c>
      <c r="C89">
        <v>1441</v>
      </c>
      <c r="D89">
        <v>5043500</v>
      </c>
      <c r="E89">
        <v>3746600</v>
      </c>
      <c r="F89">
        <v>1296900</v>
      </c>
      <c r="G89" s="1">
        <v>46521</v>
      </c>
    </row>
    <row r="90" spans="1:7" x14ac:dyDescent="0.2">
      <c r="A90" t="s">
        <v>18</v>
      </c>
      <c r="B90" t="s">
        <v>8</v>
      </c>
      <c r="C90">
        <v>161</v>
      </c>
      <c r="D90">
        <v>483000</v>
      </c>
      <c r="E90">
        <v>289800</v>
      </c>
      <c r="F90">
        <v>193200</v>
      </c>
      <c r="G90" s="1">
        <v>46163</v>
      </c>
    </row>
    <row r="91" spans="1:7" x14ac:dyDescent="0.2">
      <c r="A91" t="s">
        <v>21</v>
      </c>
      <c r="B91" t="s">
        <v>17</v>
      </c>
      <c r="C91">
        <v>664</v>
      </c>
      <c r="D91">
        <v>9960000</v>
      </c>
      <c r="E91">
        <v>7304000</v>
      </c>
      <c r="F91">
        <v>2656000</v>
      </c>
      <c r="G91" s="1">
        <v>46085</v>
      </c>
    </row>
    <row r="92" spans="1:7" x14ac:dyDescent="0.2">
      <c r="A92" t="s">
        <v>13</v>
      </c>
      <c r="B92" t="s">
        <v>10</v>
      </c>
      <c r="C92">
        <v>1631</v>
      </c>
      <c r="D92">
        <v>5708500</v>
      </c>
      <c r="E92">
        <v>4240600</v>
      </c>
      <c r="F92">
        <v>1467900</v>
      </c>
      <c r="G92" s="1">
        <v>46261</v>
      </c>
    </row>
    <row r="93" spans="1:7" x14ac:dyDescent="0.2">
      <c r="A93" t="s">
        <v>16</v>
      </c>
      <c r="B93" t="s">
        <v>23</v>
      </c>
      <c r="C93">
        <v>524</v>
      </c>
      <c r="D93">
        <v>2620000</v>
      </c>
      <c r="E93">
        <v>2200800</v>
      </c>
      <c r="F93">
        <v>419200</v>
      </c>
      <c r="G93" s="1">
        <v>46227</v>
      </c>
    </row>
    <row r="94" spans="1:7" x14ac:dyDescent="0.2">
      <c r="A94" t="s">
        <v>21</v>
      </c>
      <c r="B94" t="s">
        <v>8</v>
      </c>
      <c r="C94">
        <v>2933</v>
      </c>
      <c r="D94">
        <v>8799000</v>
      </c>
      <c r="E94">
        <v>5279400</v>
      </c>
      <c r="F94">
        <v>3519600</v>
      </c>
      <c r="G94" s="1">
        <v>46582</v>
      </c>
    </row>
    <row r="95" spans="1:7" x14ac:dyDescent="0.2">
      <c r="A95" t="s">
        <v>9</v>
      </c>
      <c r="B95" t="s">
        <v>23</v>
      </c>
      <c r="C95">
        <v>1963</v>
      </c>
      <c r="D95">
        <v>9815000</v>
      </c>
      <c r="E95">
        <v>8244600</v>
      </c>
      <c r="F95">
        <v>1570400</v>
      </c>
      <c r="G95" s="1">
        <v>46633</v>
      </c>
    </row>
    <row r="96" spans="1:7" x14ac:dyDescent="0.2">
      <c r="A96" t="s">
        <v>20</v>
      </c>
      <c r="B96" t="s">
        <v>8</v>
      </c>
      <c r="C96">
        <v>320</v>
      </c>
      <c r="D96">
        <v>960000</v>
      </c>
      <c r="E96">
        <v>576000</v>
      </c>
      <c r="F96">
        <v>384000</v>
      </c>
      <c r="G96" s="1">
        <v>46062</v>
      </c>
    </row>
    <row r="97" spans="1:7" x14ac:dyDescent="0.2">
      <c r="A97" t="s">
        <v>20</v>
      </c>
      <c r="B97" t="s">
        <v>19</v>
      </c>
      <c r="C97">
        <v>2518</v>
      </c>
      <c r="D97">
        <v>113310000</v>
      </c>
      <c r="E97">
        <v>95684000</v>
      </c>
      <c r="F97">
        <v>17626000</v>
      </c>
      <c r="G97" s="1">
        <v>46339</v>
      </c>
    </row>
    <row r="98" spans="1:7" x14ac:dyDescent="0.2">
      <c r="A98" t="s">
        <v>16</v>
      </c>
      <c r="B98" t="s">
        <v>19</v>
      </c>
      <c r="C98">
        <v>1970</v>
      </c>
      <c r="D98">
        <v>88650000</v>
      </c>
      <c r="E98">
        <v>74860000</v>
      </c>
      <c r="F98">
        <v>13790000</v>
      </c>
      <c r="G98" s="1">
        <v>46317</v>
      </c>
    </row>
    <row r="99" spans="1:7" x14ac:dyDescent="0.2">
      <c r="A99" t="s">
        <v>11</v>
      </c>
      <c r="B99" t="s">
        <v>19</v>
      </c>
      <c r="C99">
        <v>2804</v>
      </c>
      <c r="D99">
        <v>126180000</v>
      </c>
      <c r="E99">
        <v>106552000</v>
      </c>
      <c r="F99">
        <v>19628000</v>
      </c>
      <c r="G99" s="1">
        <v>46428</v>
      </c>
    </row>
    <row r="100" spans="1:7" x14ac:dyDescent="0.2">
      <c r="A100" t="s">
        <v>11</v>
      </c>
      <c r="B100" t="s">
        <v>10</v>
      </c>
      <c r="C100">
        <v>1440</v>
      </c>
      <c r="D100">
        <v>5040000</v>
      </c>
      <c r="E100">
        <v>3744000</v>
      </c>
      <c r="F100">
        <v>1296000</v>
      </c>
      <c r="G100" s="1">
        <v>46275</v>
      </c>
    </row>
    <row r="101" spans="1:7" x14ac:dyDescent="0.2">
      <c r="A101" t="s">
        <v>7</v>
      </c>
      <c r="B101" t="s">
        <v>23</v>
      </c>
      <c r="C101">
        <v>89</v>
      </c>
      <c r="D101">
        <v>445000</v>
      </c>
      <c r="E101">
        <v>373800</v>
      </c>
      <c r="F101">
        <v>71200</v>
      </c>
      <c r="G101" s="1">
        <v>46039</v>
      </c>
    </row>
    <row r="102" spans="1:7" x14ac:dyDescent="0.2">
      <c r="A102" t="s">
        <v>18</v>
      </c>
      <c r="B102" t="s">
        <v>23</v>
      </c>
      <c r="C102">
        <v>2032</v>
      </c>
      <c r="D102">
        <v>10160000</v>
      </c>
      <c r="E102">
        <v>8534400</v>
      </c>
      <c r="F102">
        <v>1625600</v>
      </c>
      <c r="G102" s="1">
        <v>46359</v>
      </c>
    </row>
    <row r="103" spans="1:7" x14ac:dyDescent="0.2">
      <c r="A103" t="s">
        <v>22</v>
      </c>
      <c r="B103" t="s">
        <v>23</v>
      </c>
      <c r="C103">
        <v>2286</v>
      </c>
      <c r="D103">
        <v>11430000</v>
      </c>
      <c r="E103">
        <v>9601200</v>
      </c>
      <c r="F103">
        <v>1828800</v>
      </c>
      <c r="G103" s="1">
        <v>46291</v>
      </c>
    </row>
    <row r="104" spans="1:7" x14ac:dyDescent="0.2">
      <c r="A104" t="s">
        <v>9</v>
      </c>
      <c r="B104" t="s">
        <v>17</v>
      </c>
      <c r="C104">
        <v>1043</v>
      </c>
      <c r="D104">
        <v>15645000</v>
      </c>
      <c r="E104">
        <v>11473000</v>
      </c>
      <c r="F104">
        <v>4172000</v>
      </c>
      <c r="G104" s="1">
        <v>46347</v>
      </c>
    </row>
    <row r="105" spans="1:7" x14ac:dyDescent="0.2">
      <c r="A105" t="s">
        <v>21</v>
      </c>
      <c r="B105" t="s">
        <v>23</v>
      </c>
      <c r="C105">
        <v>2062</v>
      </c>
      <c r="D105">
        <v>10310000</v>
      </c>
      <c r="E105">
        <v>8660400</v>
      </c>
      <c r="F105">
        <v>1649600</v>
      </c>
      <c r="G105" s="1">
        <v>46033</v>
      </c>
    </row>
    <row r="106" spans="1:7" x14ac:dyDescent="0.2">
      <c r="A106" t="s">
        <v>11</v>
      </c>
      <c r="B106" t="s">
        <v>17</v>
      </c>
      <c r="C106">
        <v>2633</v>
      </c>
      <c r="D106">
        <v>39495000</v>
      </c>
      <c r="E106">
        <v>28963000</v>
      </c>
      <c r="F106">
        <v>10532000</v>
      </c>
      <c r="G106" s="1">
        <v>46473</v>
      </c>
    </row>
    <row r="107" spans="1:7" x14ac:dyDescent="0.2">
      <c r="A107" t="s">
        <v>7</v>
      </c>
      <c r="B107" t="s">
        <v>19</v>
      </c>
      <c r="C107">
        <v>339</v>
      </c>
      <c r="D107">
        <v>15255000</v>
      </c>
      <c r="E107">
        <v>12882000</v>
      </c>
      <c r="F107">
        <v>2373000</v>
      </c>
      <c r="G107" s="1">
        <v>46204</v>
      </c>
    </row>
    <row r="108" spans="1:7" x14ac:dyDescent="0.2">
      <c r="A108" t="s">
        <v>7</v>
      </c>
      <c r="B108" t="s">
        <v>19</v>
      </c>
      <c r="C108">
        <v>2530</v>
      </c>
      <c r="D108">
        <v>113850000</v>
      </c>
      <c r="E108">
        <v>96140000</v>
      </c>
      <c r="F108">
        <v>17710000</v>
      </c>
      <c r="G108" s="1">
        <v>46306</v>
      </c>
    </row>
    <row r="109" spans="1:7" x14ac:dyDescent="0.2">
      <c r="A109" t="s">
        <v>16</v>
      </c>
      <c r="B109" t="s">
        <v>10</v>
      </c>
      <c r="C109">
        <v>2568</v>
      </c>
      <c r="D109">
        <v>8988000</v>
      </c>
      <c r="E109">
        <v>6676800</v>
      </c>
      <c r="F109">
        <v>2311200</v>
      </c>
      <c r="G109" s="1">
        <v>46125</v>
      </c>
    </row>
    <row r="110" spans="1:7" x14ac:dyDescent="0.2">
      <c r="A110" t="s">
        <v>9</v>
      </c>
      <c r="B110" t="s">
        <v>8</v>
      </c>
      <c r="C110">
        <v>2725</v>
      </c>
      <c r="D110">
        <v>8175000</v>
      </c>
      <c r="E110">
        <v>4905000</v>
      </c>
      <c r="F110">
        <v>3270000</v>
      </c>
      <c r="G110" s="1">
        <v>46363</v>
      </c>
    </row>
    <row r="111" spans="1:7" x14ac:dyDescent="0.2">
      <c r="A111" t="s">
        <v>15</v>
      </c>
      <c r="B111" t="s">
        <v>19</v>
      </c>
      <c r="C111">
        <v>328</v>
      </c>
      <c r="D111">
        <v>14760000</v>
      </c>
      <c r="E111">
        <v>12464000</v>
      </c>
      <c r="F111">
        <v>2296000</v>
      </c>
      <c r="G111" s="1">
        <v>46596</v>
      </c>
    </row>
    <row r="112" spans="1:7" x14ac:dyDescent="0.2">
      <c r="A112" t="s">
        <v>22</v>
      </c>
      <c r="B112" t="s">
        <v>8</v>
      </c>
      <c r="C112">
        <v>2974</v>
      </c>
      <c r="D112">
        <v>8922000</v>
      </c>
      <c r="E112">
        <v>5353200</v>
      </c>
      <c r="F112">
        <v>3568800</v>
      </c>
      <c r="G112" s="1">
        <v>46551</v>
      </c>
    </row>
    <row r="113" spans="1:7" x14ac:dyDescent="0.2">
      <c r="A113" t="s">
        <v>18</v>
      </c>
      <c r="B113" t="s">
        <v>8</v>
      </c>
      <c r="C113">
        <v>630</v>
      </c>
      <c r="D113">
        <v>1890000</v>
      </c>
      <c r="E113">
        <v>1134000</v>
      </c>
      <c r="F113">
        <v>756000</v>
      </c>
      <c r="G113" s="1">
        <v>46193</v>
      </c>
    </row>
    <row r="114" spans="1:7" x14ac:dyDescent="0.2">
      <c r="A114" t="s">
        <v>13</v>
      </c>
      <c r="B114" t="s">
        <v>10</v>
      </c>
      <c r="C114">
        <v>912</v>
      </c>
      <c r="D114">
        <v>3192000</v>
      </c>
      <c r="E114">
        <v>2371200</v>
      </c>
      <c r="F114">
        <v>820800</v>
      </c>
      <c r="G114" s="1">
        <v>46559</v>
      </c>
    </row>
    <row r="115" spans="1:7" x14ac:dyDescent="0.2">
      <c r="A115" t="s">
        <v>16</v>
      </c>
      <c r="B115" t="s">
        <v>14</v>
      </c>
      <c r="C115">
        <v>303</v>
      </c>
      <c r="D115">
        <v>363600</v>
      </c>
      <c r="E115">
        <v>242400</v>
      </c>
      <c r="F115">
        <v>121200</v>
      </c>
      <c r="G115" s="1">
        <v>46243</v>
      </c>
    </row>
    <row r="116" spans="1:7" x14ac:dyDescent="0.2">
      <c r="A116" t="s">
        <v>22</v>
      </c>
      <c r="B116" t="s">
        <v>14</v>
      </c>
      <c r="C116">
        <v>230</v>
      </c>
      <c r="D116">
        <v>276000</v>
      </c>
      <c r="E116">
        <v>184000</v>
      </c>
      <c r="F116">
        <v>92000</v>
      </c>
      <c r="G116" s="1">
        <v>46409</v>
      </c>
    </row>
    <row r="117" spans="1:7" x14ac:dyDescent="0.2">
      <c r="A117" t="s">
        <v>13</v>
      </c>
      <c r="B117" t="s">
        <v>12</v>
      </c>
      <c r="C117">
        <v>730</v>
      </c>
      <c r="D117">
        <v>876000</v>
      </c>
      <c r="E117">
        <v>620500</v>
      </c>
      <c r="F117">
        <v>255500</v>
      </c>
      <c r="G117" s="1">
        <v>46229</v>
      </c>
    </row>
    <row r="118" spans="1:7" x14ac:dyDescent="0.2">
      <c r="A118" t="s">
        <v>13</v>
      </c>
      <c r="B118" t="s">
        <v>10</v>
      </c>
      <c r="C118">
        <v>874</v>
      </c>
      <c r="D118">
        <v>3059000</v>
      </c>
      <c r="E118">
        <v>2272400</v>
      </c>
      <c r="F118">
        <v>786600</v>
      </c>
      <c r="G118" s="1">
        <v>46563</v>
      </c>
    </row>
    <row r="119" spans="1:7" x14ac:dyDescent="0.2">
      <c r="A119" t="s">
        <v>9</v>
      </c>
      <c r="B119" t="s">
        <v>12</v>
      </c>
      <c r="C119">
        <v>749</v>
      </c>
      <c r="D119">
        <v>898800</v>
      </c>
      <c r="E119">
        <v>636650</v>
      </c>
      <c r="F119">
        <v>262150</v>
      </c>
      <c r="G119" s="1">
        <v>46651</v>
      </c>
    </row>
    <row r="120" spans="1:7" x14ac:dyDescent="0.2">
      <c r="A120" t="s">
        <v>9</v>
      </c>
      <c r="B120" t="s">
        <v>12</v>
      </c>
      <c r="C120">
        <v>2663</v>
      </c>
      <c r="D120">
        <v>3195600</v>
      </c>
      <c r="E120">
        <v>2263550</v>
      </c>
      <c r="F120">
        <v>932050</v>
      </c>
      <c r="G120" s="1">
        <v>46438</v>
      </c>
    </row>
    <row r="121" spans="1:7" x14ac:dyDescent="0.2">
      <c r="A121" t="s">
        <v>21</v>
      </c>
      <c r="B121" t="s">
        <v>14</v>
      </c>
      <c r="C121">
        <v>1399</v>
      </c>
      <c r="D121">
        <v>1678800</v>
      </c>
      <c r="E121">
        <v>1119200</v>
      </c>
      <c r="F121">
        <v>559600</v>
      </c>
      <c r="G121" s="1">
        <v>46402</v>
      </c>
    </row>
    <row r="122" spans="1:7" x14ac:dyDescent="0.2">
      <c r="A122" t="s">
        <v>7</v>
      </c>
      <c r="B122" t="s">
        <v>10</v>
      </c>
      <c r="C122">
        <v>1430</v>
      </c>
      <c r="D122">
        <v>5005000</v>
      </c>
      <c r="E122">
        <v>3718000</v>
      </c>
      <c r="F122">
        <v>1287000</v>
      </c>
      <c r="G122" s="1">
        <v>46166</v>
      </c>
    </row>
    <row r="123" spans="1:7" x14ac:dyDescent="0.2">
      <c r="A123" t="s">
        <v>22</v>
      </c>
      <c r="B123" t="s">
        <v>14</v>
      </c>
      <c r="C123">
        <v>1723</v>
      </c>
      <c r="D123">
        <v>2067600</v>
      </c>
      <c r="E123">
        <v>1378400</v>
      </c>
      <c r="F123">
        <v>689200</v>
      </c>
      <c r="G123" s="1">
        <v>46047</v>
      </c>
    </row>
    <row r="124" spans="1:7" x14ac:dyDescent="0.2">
      <c r="A124" t="s">
        <v>16</v>
      </c>
      <c r="B124" t="s">
        <v>12</v>
      </c>
      <c r="C124">
        <v>2777</v>
      </c>
      <c r="D124">
        <v>3332400</v>
      </c>
      <c r="E124">
        <v>2360450</v>
      </c>
      <c r="F124">
        <v>971950</v>
      </c>
      <c r="G124" s="1">
        <v>46690</v>
      </c>
    </row>
    <row r="125" spans="1:7" x14ac:dyDescent="0.2">
      <c r="A125" t="s">
        <v>20</v>
      </c>
      <c r="B125" t="s">
        <v>10</v>
      </c>
      <c r="C125">
        <v>2488</v>
      </c>
      <c r="D125">
        <v>8708000</v>
      </c>
      <c r="E125">
        <v>6468800</v>
      </c>
      <c r="F125">
        <v>2239200</v>
      </c>
      <c r="G125" s="1">
        <v>46095</v>
      </c>
    </row>
    <row r="126" spans="1:7" x14ac:dyDescent="0.2">
      <c r="A126" t="s">
        <v>16</v>
      </c>
      <c r="B126" t="s">
        <v>12</v>
      </c>
      <c r="C126">
        <v>1688</v>
      </c>
      <c r="D126">
        <v>2025600</v>
      </c>
      <c r="E126">
        <v>1434800</v>
      </c>
      <c r="F126">
        <v>590800</v>
      </c>
      <c r="G126" s="1">
        <v>46654</v>
      </c>
    </row>
    <row r="127" spans="1:7" x14ac:dyDescent="0.2">
      <c r="A127" t="s">
        <v>21</v>
      </c>
      <c r="B127" t="s">
        <v>23</v>
      </c>
      <c r="C127">
        <v>2007</v>
      </c>
      <c r="D127">
        <v>10035000</v>
      </c>
      <c r="E127">
        <v>8429400</v>
      </c>
      <c r="F127">
        <v>1605600</v>
      </c>
      <c r="G127" s="1">
        <v>46085</v>
      </c>
    </row>
    <row r="128" spans="1:7" x14ac:dyDescent="0.2">
      <c r="A128" t="s">
        <v>18</v>
      </c>
      <c r="B128" t="s">
        <v>8</v>
      </c>
      <c r="C128">
        <v>261</v>
      </c>
      <c r="D128">
        <v>783000</v>
      </c>
      <c r="E128">
        <v>469800</v>
      </c>
      <c r="F128">
        <v>313200</v>
      </c>
      <c r="G128" s="1">
        <v>46527</v>
      </c>
    </row>
    <row r="129" spans="1:7" x14ac:dyDescent="0.2">
      <c r="A129" t="s">
        <v>7</v>
      </c>
      <c r="B129" t="s">
        <v>10</v>
      </c>
      <c r="C129">
        <v>1588</v>
      </c>
      <c r="D129">
        <v>5558000</v>
      </c>
      <c r="E129">
        <v>4128800</v>
      </c>
      <c r="F129">
        <v>1429200</v>
      </c>
      <c r="G129" s="1">
        <v>46620</v>
      </c>
    </row>
    <row r="130" spans="1:7" x14ac:dyDescent="0.2">
      <c r="A130" t="s">
        <v>20</v>
      </c>
      <c r="B130" t="s">
        <v>10</v>
      </c>
      <c r="C130">
        <v>433</v>
      </c>
      <c r="D130">
        <v>1515500</v>
      </c>
      <c r="E130">
        <v>1125800</v>
      </c>
      <c r="F130">
        <v>389700</v>
      </c>
      <c r="G130" s="1">
        <v>46065</v>
      </c>
    </row>
    <row r="131" spans="1:7" x14ac:dyDescent="0.2">
      <c r="A131" t="s">
        <v>11</v>
      </c>
      <c r="B131" t="s">
        <v>8</v>
      </c>
      <c r="C131">
        <v>1764</v>
      </c>
      <c r="D131">
        <v>5292000</v>
      </c>
      <c r="E131">
        <v>3175200</v>
      </c>
      <c r="F131">
        <v>2116800</v>
      </c>
      <c r="G131" s="1">
        <v>46390</v>
      </c>
    </row>
    <row r="132" spans="1:7" x14ac:dyDescent="0.2">
      <c r="A132" t="s">
        <v>18</v>
      </c>
      <c r="B132" t="s">
        <v>12</v>
      </c>
      <c r="C132">
        <v>391</v>
      </c>
      <c r="D132">
        <v>469200</v>
      </c>
      <c r="E132">
        <v>332350</v>
      </c>
      <c r="F132">
        <v>136850</v>
      </c>
      <c r="G132" s="1">
        <v>46521</v>
      </c>
    </row>
    <row r="133" spans="1:7" x14ac:dyDescent="0.2">
      <c r="A133" t="s">
        <v>9</v>
      </c>
      <c r="B133" t="s">
        <v>23</v>
      </c>
      <c r="C133">
        <v>1888</v>
      </c>
      <c r="D133">
        <v>9440000</v>
      </c>
      <c r="E133">
        <v>7929600</v>
      </c>
      <c r="F133">
        <v>1510400</v>
      </c>
      <c r="G133" s="1">
        <v>46386</v>
      </c>
    </row>
    <row r="134" spans="1:7" x14ac:dyDescent="0.2">
      <c r="A134" t="s">
        <v>13</v>
      </c>
      <c r="B134" t="s">
        <v>17</v>
      </c>
      <c r="C134">
        <v>2037</v>
      </c>
      <c r="D134">
        <v>30555000</v>
      </c>
      <c r="E134">
        <v>22407000</v>
      </c>
      <c r="F134">
        <v>8148000</v>
      </c>
      <c r="G134" s="1">
        <v>46652</v>
      </c>
    </row>
    <row r="135" spans="1:7" x14ac:dyDescent="0.2">
      <c r="A135" t="s">
        <v>11</v>
      </c>
      <c r="B135" t="s">
        <v>8</v>
      </c>
      <c r="C135">
        <v>893</v>
      </c>
      <c r="D135">
        <v>2679000</v>
      </c>
      <c r="E135">
        <v>1607400</v>
      </c>
      <c r="F135">
        <v>1071600</v>
      </c>
      <c r="G135" s="1">
        <v>46221</v>
      </c>
    </row>
    <row r="136" spans="1:7" x14ac:dyDescent="0.2">
      <c r="A136" t="s">
        <v>16</v>
      </c>
      <c r="B136" t="s">
        <v>14</v>
      </c>
      <c r="C136">
        <v>1584</v>
      </c>
      <c r="D136">
        <v>1900800</v>
      </c>
      <c r="E136">
        <v>1267200</v>
      </c>
      <c r="F136">
        <v>633600</v>
      </c>
      <c r="G136" s="1">
        <v>46740</v>
      </c>
    </row>
    <row r="137" spans="1:7" x14ac:dyDescent="0.2">
      <c r="A137" t="s">
        <v>16</v>
      </c>
      <c r="B137" t="s">
        <v>12</v>
      </c>
      <c r="C137">
        <v>469</v>
      </c>
      <c r="D137">
        <v>562800</v>
      </c>
      <c r="E137">
        <v>398650</v>
      </c>
      <c r="F137">
        <v>164150</v>
      </c>
      <c r="G137" s="1">
        <v>46435</v>
      </c>
    </row>
    <row r="138" spans="1:7" x14ac:dyDescent="0.2">
      <c r="A138" t="s">
        <v>9</v>
      </c>
      <c r="B138" t="s">
        <v>8</v>
      </c>
      <c r="C138">
        <v>2848</v>
      </c>
      <c r="D138">
        <v>8544000</v>
      </c>
      <c r="E138">
        <v>5126400</v>
      </c>
      <c r="F138">
        <v>3417600</v>
      </c>
      <c r="G138" s="1">
        <v>46154</v>
      </c>
    </row>
    <row r="139" spans="1:7" x14ac:dyDescent="0.2">
      <c r="A139" t="s">
        <v>21</v>
      </c>
      <c r="B139" t="s">
        <v>8</v>
      </c>
      <c r="C139">
        <v>2038</v>
      </c>
      <c r="D139">
        <v>6114000</v>
      </c>
      <c r="E139">
        <v>3668400</v>
      </c>
      <c r="F139">
        <v>2445600</v>
      </c>
      <c r="G139" s="1">
        <v>46681</v>
      </c>
    </row>
    <row r="140" spans="1:7" x14ac:dyDescent="0.2">
      <c r="A140" t="s">
        <v>22</v>
      </c>
      <c r="B140" t="s">
        <v>10</v>
      </c>
      <c r="C140">
        <v>1982</v>
      </c>
      <c r="D140">
        <v>6937000</v>
      </c>
      <c r="E140">
        <v>5153200</v>
      </c>
      <c r="F140">
        <v>1783800</v>
      </c>
      <c r="G140" s="1">
        <v>46510</v>
      </c>
    </row>
    <row r="141" spans="1:7" x14ac:dyDescent="0.2">
      <c r="A141" t="s">
        <v>11</v>
      </c>
      <c r="B141" t="s">
        <v>14</v>
      </c>
      <c r="C141">
        <v>1899</v>
      </c>
      <c r="D141">
        <v>2278800</v>
      </c>
      <c r="E141">
        <v>1519200</v>
      </c>
      <c r="F141">
        <v>759600</v>
      </c>
      <c r="G141" s="1">
        <v>46161</v>
      </c>
    </row>
    <row r="142" spans="1:7" x14ac:dyDescent="0.2">
      <c r="A142" t="s">
        <v>11</v>
      </c>
      <c r="B142" t="s">
        <v>14</v>
      </c>
      <c r="C142">
        <v>355</v>
      </c>
      <c r="D142">
        <v>426000</v>
      </c>
      <c r="E142">
        <v>284000</v>
      </c>
      <c r="F142">
        <v>142000</v>
      </c>
      <c r="G142" s="1">
        <v>46715</v>
      </c>
    </row>
    <row r="143" spans="1:7" x14ac:dyDescent="0.2">
      <c r="A143" t="s">
        <v>15</v>
      </c>
      <c r="B143" t="s">
        <v>14</v>
      </c>
      <c r="C143">
        <v>2799</v>
      </c>
      <c r="D143">
        <v>3358800</v>
      </c>
      <c r="E143">
        <v>2239200</v>
      </c>
      <c r="F143">
        <v>1119600</v>
      </c>
      <c r="G143" s="1">
        <v>46564</v>
      </c>
    </row>
    <row r="144" spans="1:7" x14ac:dyDescent="0.2">
      <c r="A144" t="s">
        <v>18</v>
      </c>
      <c r="B144" t="s">
        <v>8</v>
      </c>
      <c r="C144">
        <v>918</v>
      </c>
      <c r="D144">
        <v>2754000</v>
      </c>
      <c r="E144">
        <v>1652400</v>
      </c>
      <c r="F144">
        <v>1101600</v>
      </c>
      <c r="G144" s="1">
        <v>46079</v>
      </c>
    </row>
    <row r="145" spans="1:7" x14ac:dyDescent="0.2">
      <c r="A145" t="s">
        <v>7</v>
      </c>
      <c r="B145" t="s">
        <v>17</v>
      </c>
      <c r="C145">
        <v>2634</v>
      </c>
      <c r="D145">
        <v>39510000</v>
      </c>
      <c r="E145">
        <v>28974000</v>
      </c>
      <c r="F145">
        <v>10536000</v>
      </c>
      <c r="G145" s="1">
        <v>46254</v>
      </c>
    </row>
    <row r="146" spans="1:7" x14ac:dyDescent="0.2">
      <c r="A146" t="s">
        <v>18</v>
      </c>
      <c r="B146" t="s">
        <v>19</v>
      </c>
      <c r="C146">
        <v>1185</v>
      </c>
      <c r="D146">
        <v>53325000</v>
      </c>
      <c r="E146">
        <v>45030000</v>
      </c>
      <c r="F146">
        <v>8295000</v>
      </c>
      <c r="G146" s="1">
        <v>46680</v>
      </c>
    </row>
    <row r="147" spans="1:7" x14ac:dyDescent="0.2">
      <c r="A147" t="s">
        <v>22</v>
      </c>
      <c r="B147" t="s">
        <v>12</v>
      </c>
      <c r="C147">
        <v>1484</v>
      </c>
      <c r="D147">
        <v>1780800</v>
      </c>
      <c r="E147">
        <v>1261400</v>
      </c>
      <c r="F147">
        <v>519400</v>
      </c>
      <c r="G147" s="1">
        <v>46694</v>
      </c>
    </row>
    <row r="148" spans="1:7" x14ac:dyDescent="0.2">
      <c r="A148" t="s">
        <v>16</v>
      </c>
      <c r="B148" t="s">
        <v>19</v>
      </c>
      <c r="C148">
        <v>255</v>
      </c>
      <c r="D148">
        <v>11475000</v>
      </c>
      <c r="E148">
        <v>9690000</v>
      </c>
      <c r="F148">
        <v>1785000</v>
      </c>
      <c r="G148" s="1">
        <v>46406</v>
      </c>
    </row>
    <row r="149" spans="1:7" x14ac:dyDescent="0.2">
      <c r="A149" t="s">
        <v>16</v>
      </c>
      <c r="B149" t="s">
        <v>8</v>
      </c>
      <c r="C149">
        <v>545</v>
      </c>
      <c r="D149">
        <v>1635000</v>
      </c>
      <c r="E149">
        <v>981000</v>
      </c>
      <c r="F149">
        <v>654000</v>
      </c>
      <c r="G149" s="1">
        <v>46582</v>
      </c>
    </row>
    <row r="150" spans="1:7" x14ac:dyDescent="0.2">
      <c r="A150" t="s">
        <v>16</v>
      </c>
      <c r="B150" t="s">
        <v>19</v>
      </c>
      <c r="C150">
        <v>1959</v>
      </c>
      <c r="D150">
        <v>88155000</v>
      </c>
      <c r="E150">
        <v>74442000</v>
      </c>
      <c r="F150">
        <v>13713000</v>
      </c>
      <c r="G150" s="1">
        <v>46216</v>
      </c>
    </row>
    <row r="151" spans="1:7" x14ac:dyDescent="0.2">
      <c r="A151" t="s">
        <v>15</v>
      </c>
      <c r="B151" t="s">
        <v>8</v>
      </c>
      <c r="C151">
        <v>2601</v>
      </c>
      <c r="D151">
        <v>7803000</v>
      </c>
      <c r="E151">
        <v>4681800</v>
      </c>
      <c r="F151">
        <v>3121200</v>
      </c>
      <c r="G151" s="1">
        <v>46670</v>
      </c>
    </row>
    <row r="152" spans="1:7" x14ac:dyDescent="0.2">
      <c r="A152" t="s">
        <v>16</v>
      </c>
      <c r="B152" t="s">
        <v>19</v>
      </c>
      <c r="C152">
        <v>1095</v>
      </c>
      <c r="D152">
        <v>49275000</v>
      </c>
      <c r="E152">
        <v>41610000</v>
      </c>
      <c r="F152">
        <v>7665000</v>
      </c>
      <c r="G152" s="1">
        <v>46556</v>
      </c>
    </row>
    <row r="153" spans="1:7" x14ac:dyDescent="0.2">
      <c r="A153" t="s">
        <v>22</v>
      </c>
      <c r="B153" t="s">
        <v>14</v>
      </c>
      <c r="C153">
        <v>262</v>
      </c>
      <c r="D153">
        <v>314400</v>
      </c>
      <c r="E153">
        <v>209600</v>
      </c>
      <c r="F153">
        <v>104800</v>
      </c>
      <c r="G153" s="1">
        <v>46424</v>
      </c>
    </row>
    <row r="154" spans="1:7" x14ac:dyDescent="0.2">
      <c r="A154" t="s">
        <v>9</v>
      </c>
      <c r="B154" t="s">
        <v>23</v>
      </c>
      <c r="C154">
        <v>359</v>
      </c>
      <c r="D154">
        <v>1795000</v>
      </c>
      <c r="E154">
        <v>1507800</v>
      </c>
      <c r="F154">
        <v>287200</v>
      </c>
      <c r="G154" s="1">
        <v>46738</v>
      </c>
    </row>
    <row r="155" spans="1:7" x14ac:dyDescent="0.2">
      <c r="A155" t="s">
        <v>7</v>
      </c>
      <c r="B155" t="s">
        <v>14</v>
      </c>
      <c r="C155">
        <v>2758</v>
      </c>
      <c r="D155">
        <v>3309600</v>
      </c>
      <c r="E155">
        <v>2206400</v>
      </c>
      <c r="F155">
        <v>1103200</v>
      </c>
      <c r="G155" s="1">
        <v>46119</v>
      </c>
    </row>
    <row r="156" spans="1:7" x14ac:dyDescent="0.2">
      <c r="A156" t="s">
        <v>22</v>
      </c>
      <c r="B156" t="s">
        <v>14</v>
      </c>
      <c r="C156">
        <v>2041</v>
      </c>
      <c r="D156">
        <v>2449200</v>
      </c>
      <c r="E156">
        <v>1632800</v>
      </c>
      <c r="F156">
        <v>816400</v>
      </c>
      <c r="G156" s="1">
        <v>46314</v>
      </c>
    </row>
    <row r="157" spans="1:7" x14ac:dyDescent="0.2">
      <c r="A157" t="s">
        <v>7</v>
      </c>
      <c r="B157" t="s">
        <v>10</v>
      </c>
      <c r="C157">
        <v>2850</v>
      </c>
      <c r="D157">
        <v>9975000</v>
      </c>
      <c r="E157">
        <v>7410000</v>
      </c>
      <c r="F157">
        <v>2565000</v>
      </c>
      <c r="G157" s="1">
        <v>46034</v>
      </c>
    </row>
    <row r="158" spans="1:7" x14ac:dyDescent="0.2">
      <c r="A158" t="s">
        <v>22</v>
      </c>
      <c r="B158" t="s">
        <v>10</v>
      </c>
      <c r="C158">
        <v>321</v>
      </c>
      <c r="D158">
        <v>1123500</v>
      </c>
      <c r="E158">
        <v>834600</v>
      </c>
      <c r="F158">
        <v>288900</v>
      </c>
      <c r="G158" s="1">
        <v>46138</v>
      </c>
    </row>
    <row r="159" spans="1:7" x14ac:dyDescent="0.2">
      <c r="A159" t="s">
        <v>16</v>
      </c>
      <c r="B159" t="s">
        <v>19</v>
      </c>
      <c r="C159">
        <v>1872</v>
      </c>
      <c r="D159">
        <v>84240000</v>
      </c>
      <c r="E159">
        <v>71136000</v>
      </c>
      <c r="F159">
        <v>13104000</v>
      </c>
      <c r="G159" s="1">
        <v>46071</v>
      </c>
    </row>
    <row r="160" spans="1:7" x14ac:dyDescent="0.2">
      <c r="A160" t="s">
        <v>9</v>
      </c>
      <c r="B160" t="s">
        <v>8</v>
      </c>
      <c r="C160">
        <v>2129</v>
      </c>
      <c r="D160">
        <v>6387000</v>
      </c>
      <c r="E160">
        <v>3832200</v>
      </c>
      <c r="F160">
        <v>2554800</v>
      </c>
      <c r="G160" s="1">
        <v>46707</v>
      </c>
    </row>
    <row r="161" spans="1:7" x14ac:dyDescent="0.2">
      <c r="A161" t="s">
        <v>11</v>
      </c>
      <c r="B161" t="s">
        <v>14</v>
      </c>
      <c r="C161">
        <v>492</v>
      </c>
      <c r="D161">
        <v>590400</v>
      </c>
      <c r="E161">
        <v>393600</v>
      </c>
      <c r="F161">
        <v>196800</v>
      </c>
      <c r="G161" s="1">
        <v>46104</v>
      </c>
    </row>
    <row r="162" spans="1:7" x14ac:dyDescent="0.2">
      <c r="A162" t="s">
        <v>18</v>
      </c>
      <c r="B162" t="s">
        <v>19</v>
      </c>
      <c r="C162">
        <v>2259</v>
      </c>
      <c r="D162">
        <v>101655000</v>
      </c>
      <c r="E162">
        <v>85842000</v>
      </c>
      <c r="F162">
        <v>15813000</v>
      </c>
      <c r="G162" s="1">
        <v>46355</v>
      </c>
    </row>
    <row r="163" spans="1:7" x14ac:dyDescent="0.2">
      <c r="A163" t="s">
        <v>13</v>
      </c>
      <c r="B163" t="s">
        <v>10</v>
      </c>
      <c r="C163">
        <v>2864</v>
      </c>
      <c r="D163">
        <v>10024000</v>
      </c>
      <c r="E163">
        <v>7446400</v>
      </c>
      <c r="F163">
        <v>2577600</v>
      </c>
      <c r="G163" s="1">
        <v>46698</v>
      </c>
    </row>
    <row r="164" spans="1:7" x14ac:dyDescent="0.2">
      <c r="A164" t="s">
        <v>9</v>
      </c>
      <c r="B164" t="s">
        <v>23</v>
      </c>
      <c r="C164">
        <v>303</v>
      </c>
      <c r="D164">
        <v>1515000</v>
      </c>
      <c r="E164">
        <v>1272600</v>
      </c>
      <c r="F164">
        <v>242400</v>
      </c>
      <c r="G164" s="1">
        <v>46034</v>
      </c>
    </row>
    <row r="165" spans="1:7" x14ac:dyDescent="0.2">
      <c r="A165" t="s">
        <v>11</v>
      </c>
      <c r="B165" t="s">
        <v>12</v>
      </c>
      <c r="C165">
        <v>570</v>
      </c>
      <c r="D165">
        <v>684000</v>
      </c>
      <c r="E165">
        <v>484500</v>
      </c>
      <c r="F165">
        <v>199500</v>
      </c>
      <c r="G165" s="1">
        <v>46554</v>
      </c>
    </row>
    <row r="166" spans="1:7" x14ac:dyDescent="0.2">
      <c r="A166" t="s">
        <v>21</v>
      </c>
      <c r="B166" t="s">
        <v>19</v>
      </c>
      <c r="C166">
        <v>1026</v>
      </c>
      <c r="D166">
        <v>46170000</v>
      </c>
      <c r="E166">
        <v>38988000</v>
      </c>
      <c r="F166">
        <v>7182000</v>
      </c>
      <c r="G166" s="1">
        <v>46273</v>
      </c>
    </row>
    <row r="167" spans="1:7" x14ac:dyDescent="0.2">
      <c r="A167" t="s">
        <v>22</v>
      </c>
      <c r="B167" t="s">
        <v>23</v>
      </c>
      <c r="C167">
        <v>59</v>
      </c>
      <c r="D167">
        <v>295000</v>
      </c>
      <c r="E167">
        <v>247800</v>
      </c>
      <c r="F167">
        <v>47200</v>
      </c>
      <c r="G167" s="1">
        <v>46657</v>
      </c>
    </row>
    <row r="168" spans="1:7" x14ac:dyDescent="0.2">
      <c r="A168" t="s">
        <v>21</v>
      </c>
      <c r="B168" t="s">
        <v>12</v>
      </c>
      <c r="C168">
        <v>2823</v>
      </c>
      <c r="D168">
        <v>3387600</v>
      </c>
      <c r="E168">
        <v>2399550</v>
      </c>
      <c r="F168">
        <v>988050</v>
      </c>
      <c r="G168" s="1">
        <v>46345</v>
      </c>
    </row>
    <row r="169" spans="1:7" x14ac:dyDescent="0.2">
      <c r="A169" t="s">
        <v>11</v>
      </c>
      <c r="B169" t="s">
        <v>17</v>
      </c>
      <c r="C169">
        <v>2602</v>
      </c>
      <c r="D169">
        <v>39030000</v>
      </c>
      <c r="E169">
        <v>28622000</v>
      </c>
      <c r="F169">
        <v>10408000</v>
      </c>
      <c r="G169" s="1">
        <v>46082</v>
      </c>
    </row>
    <row r="170" spans="1:7" x14ac:dyDescent="0.2">
      <c r="A170" t="s">
        <v>9</v>
      </c>
      <c r="B170" t="s">
        <v>19</v>
      </c>
      <c r="C170">
        <v>2882</v>
      </c>
      <c r="D170">
        <v>129690000</v>
      </c>
      <c r="E170">
        <v>109516000</v>
      </c>
      <c r="F170">
        <v>20174000</v>
      </c>
      <c r="G170" s="1">
        <v>46716</v>
      </c>
    </row>
    <row r="171" spans="1:7" x14ac:dyDescent="0.2">
      <c r="A171" t="s">
        <v>22</v>
      </c>
      <c r="B171" t="s">
        <v>19</v>
      </c>
      <c r="C171">
        <v>1633</v>
      </c>
      <c r="D171">
        <v>73485000</v>
      </c>
      <c r="E171">
        <v>62054000</v>
      </c>
      <c r="F171">
        <v>11431000</v>
      </c>
      <c r="G171" s="1">
        <v>46228</v>
      </c>
    </row>
    <row r="172" spans="1:7" x14ac:dyDescent="0.2">
      <c r="A172" t="s">
        <v>13</v>
      </c>
      <c r="B172" t="s">
        <v>17</v>
      </c>
      <c r="C172">
        <v>2533</v>
      </c>
      <c r="D172">
        <v>37995000</v>
      </c>
      <c r="E172">
        <v>27863000</v>
      </c>
      <c r="F172">
        <v>10132000</v>
      </c>
      <c r="G172" s="1">
        <v>46267</v>
      </c>
    </row>
    <row r="173" spans="1:7" x14ac:dyDescent="0.2">
      <c r="A173" t="s">
        <v>16</v>
      </c>
      <c r="B173" t="s">
        <v>17</v>
      </c>
      <c r="C173">
        <v>1184</v>
      </c>
      <c r="D173">
        <v>17760000</v>
      </c>
      <c r="E173">
        <v>13024000</v>
      </c>
      <c r="F173">
        <v>4736000</v>
      </c>
      <c r="G173" s="1">
        <v>46081</v>
      </c>
    </row>
    <row r="174" spans="1:7" x14ac:dyDescent="0.2">
      <c r="A174" t="s">
        <v>22</v>
      </c>
      <c r="B174" t="s">
        <v>19</v>
      </c>
      <c r="C174">
        <v>202</v>
      </c>
      <c r="D174">
        <v>9090000</v>
      </c>
      <c r="E174">
        <v>7676000</v>
      </c>
      <c r="F174">
        <v>1414000</v>
      </c>
      <c r="G174" s="1">
        <v>46596</v>
      </c>
    </row>
    <row r="175" spans="1:7" x14ac:dyDescent="0.2">
      <c r="A175" t="s">
        <v>22</v>
      </c>
      <c r="B175" t="s">
        <v>17</v>
      </c>
      <c r="C175">
        <v>1708</v>
      </c>
      <c r="D175">
        <v>25620000</v>
      </c>
      <c r="E175">
        <v>18788000</v>
      </c>
      <c r="F175">
        <v>6832000</v>
      </c>
      <c r="G175" s="1">
        <v>46548</v>
      </c>
    </row>
    <row r="176" spans="1:7" x14ac:dyDescent="0.2">
      <c r="A176" t="s">
        <v>9</v>
      </c>
      <c r="B176" t="s">
        <v>14</v>
      </c>
      <c r="C176">
        <v>2966</v>
      </c>
      <c r="D176">
        <v>3559200</v>
      </c>
      <c r="E176">
        <v>2372800</v>
      </c>
      <c r="F176">
        <v>1186400</v>
      </c>
      <c r="G176" s="1">
        <v>46529</v>
      </c>
    </row>
    <row r="177" spans="1:7" x14ac:dyDescent="0.2">
      <c r="A177" t="s">
        <v>9</v>
      </c>
      <c r="B177" t="s">
        <v>12</v>
      </c>
      <c r="C177">
        <v>2850</v>
      </c>
      <c r="D177">
        <v>3420000</v>
      </c>
      <c r="E177">
        <v>2422500</v>
      </c>
      <c r="F177">
        <v>997500</v>
      </c>
      <c r="G177" s="1">
        <v>46594</v>
      </c>
    </row>
    <row r="178" spans="1:7" x14ac:dyDescent="0.2">
      <c r="A178" t="s">
        <v>11</v>
      </c>
      <c r="B178" t="s">
        <v>12</v>
      </c>
      <c r="C178">
        <v>1906</v>
      </c>
      <c r="D178">
        <v>2287200</v>
      </c>
      <c r="E178">
        <v>1620100</v>
      </c>
      <c r="F178">
        <v>667100</v>
      </c>
      <c r="G178" s="1">
        <v>46058</v>
      </c>
    </row>
    <row r="179" spans="1:7" x14ac:dyDescent="0.2">
      <c r="A179" t="s">
        <v>20</v>
      </c>
      <c r="B179" t="s">
        <v>12</v>
      </c>
      <c r="C179">
        <v>1264</v>
      </c>
      <c r="D179">
        <v>1516800</v>
      </c>
      <c r="E179">
        <v>1074400</v>
      </c>
      <c r="F179">
        <v>442400</v>
      </c>
      <c r="G179" s="1">
        <v>46501</v>
      </c>
    </row>
    <row r="180" spans="1:7" x14ac:dyDescent="0.2">
      <c r="A180" t="s">
        <v>22</v>
      </c>
      <c r="B180" t="s">
        <v>14</v>
      </c>
      <c r="C180">
        <v>1802</v>
      </c>
      <c r="D180">
        <v>2162400</v>
      </c>
      <c r="E180">
        <v>1441600</v>
      </c>
      <c r="F180">
        <v>720800</v>
      </c>
      <c r="G180" s="1">
        <v>46700</v>
      </c>
    </row>
    <row r="181" spans="1:7" x14ac:dyDescent="0.2">
      <c r="A181" t="s">
        <v>18</v>
      </c>
      <c r="B181" t="s">
        <v>8</v>
      </c>
      <c r="C181">
        <v>2660</v>
      </c>
      <c r="D181">
        <v>7980000</v>
      </c>
      <c r="E181">
        <v>4788000</v>
      </c>
      <c r="F181">
        <v>3192000</v>
      </c>
      <c r="G181" s="1">
        <v>46177</v>
      </c>
    </row>
    <row r="182" spans="1:7" x14ac:dyDescent="0.2">
      <c r="A182" t="s">
        <v>22</v>
      </c>
      <c r="B182" t="s">
        <v>17</v>
      </c>
      <c r="C182">
        <v>1154</v>
      </c>
      <c r="D182">
        <v>17310000</v>
      </c>
      <c r="E182">
        <v>12694000</v>
      </c>
      <c r="F182">
        <v>4616000</v>
      </c>
      <c r="G182" s="1">
        <v>46436</v>
      </c>
    </row>
    <row r="183" spans="1:7" x14ac:dyDescent="0.2">
      <c r="A183" t="s">
        <v>11</v>
      </c>
      <c r="B183" t="s">
        <v>23</v>
      </c>
      <c r="C183">
        <v>2586</v>
      </c>
      <c r="D183">
        <v>12930000</v>
      </c>
      <c r="E183">
        <v>10861200</v>
      </c>
      <c r="F183">
        <v>2068800</v>
      </c>
      <c r="G183" s="1">
        <v>46257</v>
      </c>
    </row>
    <row r="184" spans="1:7" x14ac:dyDescent="0.2">
      <c r="A184" t="s">
        <v>7</v>
      </c>
      <c r="B184" t="s">
        <v>17</v>
      </c>
      <c r="C184">
        <v>944</v>
      </c>
      <c r="D184">
        <v>14160000</v>
      </c>
      <c r="E184">
        <v>10384000</v>
      </c>
      <c r="F184">
        <v>3776000</v>
      </c>
      <c r="G184" s="1">
        <v>46084</v>
      </c>
    </row>
    <row r="185" spans="1:7" x14ac:dyDescent="0.2">
      <c r="A185" t="s">
        <v>21</v>
      </c>
      <c r="B185" t="s">
        <v>19</v>
      </c>
      <c r="C185">
        <v>1161</v>
      </c>
      <c r="D185">
        <v>52245000</v>
      </c>
      <c r="E185">
        <v>44118000</v>
      </c>
      <c r="F185">
        <v>8127000</v>
      </c>
      <c r="G185" s="1">
        <v>46278</v>
      </c>
    </row>
    <row r="186" spans="1:7" x14ac:dyDescent="0.2">
      <c r="A186" t="s">
        <v>16</v>
      </c>
      <c r="B186" t="s">
        <v>10</v>
      </c>
      <c r="C186">
        <v>153</v>
      </c>
      <c r="D186">
        <v>535500</v>
      </c>
      <c r="E186">
        <v>397800</v>
      </c>
      <c r="F186">
        <v>137700</v>
      </c>
      <c r="G186" s="1">
        <v>46583</v>
      </c>
    </row>
    <row r="187" spans="1:7" x14ac:dyDescent="0.2">
      <c r="A187" t="s">
        <v>20</v>
      </c>
      <c r="B187" t="s">
        <v>12</v>
      </c>
      <c r="C187">
        <v>1964</v>
      </c>
      <c r="D187">
        <v>2356800</v>
      </c>
      <c r="E187">
        <v>1669400</v>
      </c>
      <c r="F187">
        <v>687400</v>
      </c>
      <c r="G187" s="1">
        <v>46370</v>
      </c>
    </row>
    <row r="188" spans="1:7" x14ac:dyDescent="0.2">
      <c r="A188" t="s">
        <v>13</v>
      </c>
      <c r="B188" t="s">
        <v>17</v>
      </c>
      <c r="C188">
        <v>1056</v>
      </c>
      <c r="D188">
        <v>15840000</v>
      </c>
      <c r="E188">
        <v>11616000</v>
      </c>
      <c r="F188">
        <v>4224000</v>
      </c>
      <c r="G188" s="1">
        <v>46429</v>
      </c>
    </row>
    <row r="189" spans="1:7" x14ac:dyDescent="0.2">
      <c r="A189" t="s">
        <v>13</v>
      </c>
      <c r="B189" t="s">
        <v>23</v>
      </c>
      <c r="C189">
        <v>456</v>
      </c>
      <c r="D189">
        <v>2280000</v>
      </c>
      <c r="E189">
        <v>1915200</v>
      </c>
      <c r="F189">
        <v>364800</v>
      </c>
      <c r="G189" s="1">
        <v>46117</v>
      </c>
    </row>
    <row r="190" spans="1:7" x14ac:dyDescent="0.2">
      <c r="A190" t="s">
        <v>13</v>
      </c>
      <c r="B190" t="s">
        <v>19</v>
      </c>
      <c r="C190">
        <v>1451</v>
      </c>
      <c r="D190">
        <v>65295000</v>
      </c>
      <c r="E190">
        <v>55138000</v>
      </c>
      <c r="F190">
        <v>10157000</v>
      </c>
      <c r="G190" s="1">
        <v>46504</v>
      </c>
    </row>
    <row r="191" spans="1:7" x14ac:dyDescent="0.2">
      <c r="A191" t="s">
        <v>9</v>
      </c>
      <c r="B191" t="s">
        <v>14</v>
      </c>
      <c r="C191">
        <v>216</v>
      </c>
      <c r="D191">
        <v>259200</v>
      </c>
      <c r="E191">
        <v>172800</v>
      </c>
      <c r="F191">
        <v>86400</v>
      </c>
      <c r="G191" s="1">
        <v>46339</v>
      </c>
    </row>
    <row r="192" spans="1:7" x14ac:dyDescent="0.2">
      <c r="A192" t="s">
        <v>13</v>
      </c>
      <c r="B192" t="s">
        <v>8</v>
      </c>
      <c r="C192">
        <v>558</v>
      </c>
      <c r="D192">
        <v>1674000</v>
      </c>
      <c r="E192">
        <v>1004400</v>
      </c>
      <c r="F192">
        <v>669600</v>
      </c>
      <c r="G192" s="1">
        <v>46526</v>
      </c>
    </row>
    <row r="193" spans="1:7" x14ac:dyDescent="0.2">
      <c r="A193" t="s">
        <v>16</v>
      </c>
      <c r="B193" t="s">
        <v>14</v>
      </c>
      <c r="C193">
        <v>1711</v>
      </c>
      <c r="D193">
        <v>2053200</v>
      </c>
      <c r="E193">
        <v>1368800</v>
      </c>
      <c r="F193">
        <v>684400</v>
      </c>
      <c r="G193" s="1">
        <v>46741</v>
      </c>
    </row>
    <row r="194" spans="1:7" x14ac:dyDescent="0.2">
      <c r="A194" t="s">
        <v>21</v>
      </c>
      <c r="B194" t="s">
        <v>23</v>
      </c>
      <c r="C194">
        <v>2410</v>
      </c>
      <c r="D194">
        <v>12050000</v>
      </c>
      <c r="E194">
        <v>10122000</v>
      </c>
      <c r="F194">
        <v>1928000</v>
      </c>
      <c r="G194" s="1">
        <v>46070</v>
      </c>
    </row>
    <row r="195" spans="1:7" x14ac:dyDescent="0.2">
      <c r="A195" t="s">
        <v>13</v>
      </c>
      <c r="B195" t="s">
        <v>19</v>
      </c>
      <c r="C195">
        <v>812</v>
      </c>
      <c r="D195">
        <v>36540000</v>
      </c>
      <c r="E195">
        <v>30856000</v>
      </c>
      <c r="F195">
        <v>5684000</v>
      </c>
      <c r="G195" s="1">
        <v>46431</v>
      </c>
    </row>
    <row r="196" spans="1:7" x14ac:dyDescent="0.2">
      <c r="A196" t="s">
        <v>22</v>
      </c>
      <c r="B196" t="s">
        <v>12</v>
      </c>
      <c r="C196">
        <v>730</v>
      </c>
      <c r="D196">
        <v>876000</v>
      </c>
      <c r="E196">
        <v>620500</v>
      </c>
      <c r="F196">
        <v>255500</v>
      </c>
      <c r="G196" s="1">
        <v>46158</v>
      </c>
    </row>
    <row r="197" spans="1:7" x14ac:dyDescent="0.2">
      <c r="A197" t="s">
        <v>22</v>
      </c>
      <c r="B197" t="s">
        <v>17</v>
      </c>
      <c r="C197">
        <v>2574</v>
      </c>
      <c r="D197">
        <v>38610000</v>
      </c>
      <c r="E197">
        <v>28314000</v>
      </c>
      <c r="F197">
        <v>10296000</v>
      </c>
      <c r="G197" s="1">
        <v>46223</v>
      </c>
    </row>
    <row r="198" spans="1:7" x14ac:dyDescent="0.2">
      <c r="A198" t="s">
        <v>9</v>
      </c>
      <c r="B198" t="s">
        <v>19</v>
      </c>
      <c r="C198">
        <v>2170</v>
      </c>
      <c r="D198">
        <v>97650000</v>
      </c>
      <c r="E198">
        <v>82460000</v>
      </c>
      <c r="F198">
        <v>15190000</v>
      </c>
      <c r="G198" s="1">
        <v>46212</v>
      </c>
    </row>
    <row r="199" spans="1:7" x14ac:dyDescent="0.2">
      <c r="A199" t="s">
        <v>16</v>
      </c>
      <c r="B199" t="s">
        <v>8</v>
      </c>
      <c r="C199">
        <v>1214</v>
      </c>
      <c r="D199">
        <v>3642000</v>
      </c>
      <c r="E199">
        <v>2185200</v>
      </c>
      <c r="F199">
        <v>1456800</v>
      </c>
      <c r="G199" s="1">
        <v>46306</v>
      </c>
    </row>
    <row r="200" spans="1:7" x14ac:dyDescent="0.2">
      <c r="A200" t="s">
        <v>21</v>
      </c>
      <c r="B200" t="s">
        <v>14</v>
      </c>
      <c r="C200">
        <v>631</v>
      </c>
      <c r="D200">
        <v>757200</v>
      </c>
      <c r="E200">
        <v>504800</v>
      </c>
      <c r="F200">
        <v>252400</v>
      </c>
      <c r="G200" s="1">
        <v>46447</v>
      </c>
    </row>
    <row r="201" spans="1:7" x14ac:dyDescent="0.2">
      <c r="A201" t="s">
        <v>20</v>
      </c>
      <c r="B201" t="s">
        <v>8</v>
      </c>
      <c r="C201">
        <v>311</v>
      </c>
      <c r="D201">
        <v>933000</v>
      </c>
      <c r="E201">
        <v>559800</v>
      </c>
      <c r="F201">
        <v>373200</v>
      </c>
      <c r="G201" s="1">
        <v>46510</v>
      </c>
    </row>
    <row r="202" spans="1:7" x14ac:dyDescent="0.2">
      <c r="A202" t="s">
        <v>11</v>
      </c>
      <c r="B202" t="s">
        <v>8</v>
      </c>
      <c r="C202">
        <v>1413</v>
      </c>
      <c r="D202">
        <v>4239000</v>
      </c>
      <c r="E202">
        <v>2543400</v>
      </c>
      <c r="F202">
        <v>1695600</v>
      </c>
      <c r="G202" s="1">
        <v>46502</v>
      </c>
    </row>
    <row r="203" spans="1:7" x14ac:dyDescent="0.2">
      <c r="A203" t="s">
        <v>21</v>
      </c>
      <c r="B203" t="s">
        <v>23</v>
      </c>
      <c r="C203">
        <v>1381</v>
      </c>
      <c r="D203">
        <v>6905000</v>
      </c>
      <c r="E203">
        <v>5800200</v>
      </c>
      <c r="F203">
        <v>1104800</v>
      </c>
      <c r="G203" s="1">
        <v>46306</v>
      </c>
    </row>
    <row r="204" spans="1:7" x14ac:dyDescent="0.2">
      <c r="A204" t="s">
        <v>11</v>
      </c>
      <c r="B204" t="s">
        <v>23</v>
      </c>
      <c r="C204">
        <v>2342</v>
      </c>
      <c r="D204">
        <v>11710000</v>
      </c>
      <c r="E204">
        <v>9836400</v>
      </c>
      <c r="F204">
        <v>1873600</v>
      </c>
      <c r="G204" s="1">
        <v>46522</v>
      </c>
    </row>
    <row r="205" spans="1:7" x14ac:dyDescent="0.2">
      <c r="A205" t="s">
        <v>7</v>
      </c>
      <c r="B205" t="s">
        <v>17</v>
      </c>
      <c r="C205">
        <v>1588</v>
      </c>
      <c r="D205">
        <v>23820000</v>
      </c>
      <c r="E205">
        <v>17468000</v>
      </c>
      <c r="F205">
        <v>6352000</v>
      </c>
      <c r="G205" s="1">
        <v>46743</v>
      </c>
    </row>
    <row r="206" spans="1:7" x14ac:dyDescent="0.2">
      <c r="A206" t="s">
        <v>11</v>
      </c>
      <c r="B206" t="s">
        <v>23</v>
      </c>
      <c r="C206">
        <v>610</v>
      </c>
      <c r="D206">
        <v>3050000</v>
      </c>
      <c r="E206">
        <v>2562000</v>
      </c>
      <c r="F206">
        <v>488000</v>
      </c>
      <c r="G206" s="1">
        <v>46377</v>
      </c>
    </row>
    <row r="207" spans="1:7" x14ac:dyDescent="0.2">
      <c r="A207" t="s">
        <v>18</v>
      </c>
      <c r="B207" t="s">
        <v>23</v>
      </c>
      <c r="C207">
        <v>1149</v>
      </c>
      <c r="D207">
        <v>5745000</v>
      </c>
      <c r="E207">
        <v>4825800</v>
      </c>
      <c r="F207">
        <v>919200</v>
      </c>
      <c r="G207" s="1">
        <v>46507</v>
      </c>
    </row>
    <row r="208" spans="1:7" x14ac:dyDescent="0.2">
      <c r="A208" t="s">
        <v>22</v>
      </c>
      <c r="B208" t="s">
        <v>19</v>
      </c>
      <c r="C208">
        <v>1953</v>
      </c>
      <c r="D208">
        <v>87885000</v>
      </c>
      <c r="E208">
        <v>74214000</v>
      </c>
      <c r="F208">
        <v>13671000</v>
      </c>
      <c r="G208" s="1">
        <v>46233</v>
      </c>
    </row>
    <row r="209" spans="1:7" x14ac:dyDescent="0.2">
      <c r="A209" t="s">
        <v>16</v>
      </c>
      <c r="B209" t="s">
        <v>12</v>
      </c>
      <c r="C209">
        <v>224</v>
      </c>
      <c r="D209">
        <v>268800</v>
      </c>
      <c r="E209">
        <v>190400</v>
      </c>
      <c r="F209">
        <v>78400</v>
      </c>
      <c r="G209" s="1">
        <v>46519</v>
      </c>
    </row>
    <row r="210" spans="1:7" x14ac:dyDescent="0.2">
      <c r="A210" t="s">
        <v>15</v>
      </c>
      <c r="B210" t="s">
        <v>17</v>
      </c>
      <c r="C210">
        <v>2206</v>
      </c>
      <c r="D210">
        <v>33090000</v>
      </c>
      <c r="E210">
        <v>24266000</v>
      </c>
      <c r="F210">
        <v>8824000</v>
      </c>
      <c r="G210" s="1">
        <v>46066</v>
      </c>
    </row>
    <row r="211" spans="1:7" x14ac:dyDescent="0.2">
      <c r="A211" t="s">
        <v>9</v>
      </c>
      <c r="B211" t="s">
        <v>19</v>
      </c>
      <c r="C211">
        <v>2280</v>
      </c>
      <c r="D211">
        <v>102600000</v>
      </c>
      <c r="E211">
        <v>86640000</v>
      </c>
      <c r="F211">
        <v>15960000</v>
      </c>
      <c r="G211" s="1">
        <v>46563</v>
      </c>
    </row>
    <row r="212" spans="1:7" x14ac:dyDescent="0.2">
      <c r="A212" t="s">
        <v>18</v>
      </c>
      <c r="B212" t="s">
        <v>12</v>
      </c>
      <c r="C212">
        <v>241</v>
      </c>
      <c r="D212">
        <v>289200</v>
      </c>
      <c r="E212">
        <v>204850</v>
      </c>
      <c r="F212">
        <v>84350</v>
      </c>
      <c r="G212" s="1">
        <v>46593</v>
      </c>
    </row>
    <row r="213" spans="1:7" x14ac:dyDescent="0.2">
      <c r="A213" t="s">
        <v>11</v>
      </c>
      <c r="B213" t="s">
        <v>8</v>
      </c>
      <c r="C213">
        <v>114</v>
      </c>
      <c r="D213">
        <v>342000</v>
      </c>
      <c r="E213">
        <v>205200</v>
      </c>
      <c r="F213">
        <v>136800</v>
      </c>
      <c r="G213" s="1">
        <v>46546</v>
      </c>
    </row>
    <row r="214" spans="1:7" x14ac:dyDescent="0.2">
      <c r="A214" t="s">
        <v>13</v>
      </c>
      <c r="B214" t="s">
        <v>19</v>
      </c>
      <c r="C214">
        <v>1547</v>
      </c>
      <c r="D214">
        <v>69615000</v>
      </c>
      <c r="E214">
        <v>58786000</v>
      </c>
      <c r="F214">
        <v>10829000</v>
      </c>
      <c r="G214" s="1">
        <v>46057</v>
      </c>
    </row>
    <row r="215" spans="1:7" x14ac:dyDescent="0.2">
      <c r="A215" t="s">
        <v>16</v>
      </c>
      <c r="B215" t="s">
        <v>10</v>
      </c>
      <c r="C215">
        <v>1617</v>
      </c>
      <c r="D215">
        <v>5659500</v>
      </c>
      <c r="E215">
        <v>4204200</v>
      </c>
      <c r="F215">
        <v>1455300</v>
      </c>
      <c r="G215" s="1">
        <v>46287</v>
      </c>
    </row>
    <row r="216" spans="1:7" x14ac:dyDescent="0.2">
      <c r="A216" t="s">
        <v>18</v>
      </c>
      <c r="B216" t="s">
        <v>19</v>
      </c>
      <c r="C216">
        <v>2961</v>
      </c>
      <c r="D216">
        <v>133245000</v>
      </c>
      <c r="E216">
        <v>112518000</v>
      </c>
      <c r="F216">
        <v>20727000</v>
      </c>
      <c r="G216" s="1">
        <v>46242</v>
      </c>
    </row>
    <row r="217" spans="1:7" x14ac:dyDescent="0.2">
      <c r="A217" t="s">
        <v>9</v>
      </c>
      <c r="B217" t="s">
        <v>23</v>
      </c>
      <c r="C217">
        <v>1201</v>
      </c>
      <c r="D217">
        <v>6005000</v>
      </c>
      <c r="E217">
        <v>5044200</v>
      </c>
      <c r="F217">
        <v>960800</v>
      </c>
      <c r="G217" s="1">
        <v>46464</v>
      </c>
    </row>
    <row r="218" spans="1:7" x14ac:dyDescent="0.2">
      <c r="A218" t="s">
        <v>22</v>
      </c>
      <c r="B218" t="s">
        <v>12</v>
      </c>
      <c r="C218">
        <v>1987</v>
      </c>
      <c r="D218">
        <v>2384400</v>
      </c>
      <c r="E218">
        <v>1688950</v>
      </c>
      <c r="F218">
        <v>695450</v>
      </c>
      <c r="G218" s="1">
        <v>46509</v>
      </c>
    </row>
    <row r="219" spans="1:7" x14ac:dyDescent="0.2">
      <c r="A219" t="s">
        <v>16</v>
      </c>
      <c r="B219" t="s">
        <v>17</v>
      </c>
      <c r="C219">
        <v>418</v>
      </c>
      <c r="D219">
        <v>6270000</v>
      </c>
      <c r="E219">
        <v>4598000</v>
      </c>
      <c r="F219">
        <v>1672000</v>
      </c>
      <c r="G219" s="1">
        <v>46479</v>
      </c>
    </row>
    <row r="220" spans="1:7" x14ac:dyDescent="0.2">
      <c r="A220" t="s">
        <v>9</v>
      </c>
      <c r="B220" t="s">
        <v>17</v>
      </c>
      <c r="C220">
        <v>900</v>
      </c>
      <c r="D220">
        <v>13500000</v>
      </c>
      <c r="E220">
        <v>9900000</v>
      </c>
      <c r="F220">
        <v>3600000</v>
      </c>
      <c r="G220" s="1">
        <v>46749</v>
      </c>
    </row>
    <row r="221" spans="1:7" x14ac:dyDescent="0.2">
      <c r="A221" t="s">
        <v>7</v>
      </c>
      <c r="B221" t="s">
        <v>12</v>
      </c>
      <c r="C221">
        <v>92</v>
      </c>
      <c r="D221">
        <v>110400</v>
      </c>
      <c r="E221">
        <v>78200</v>
      </c>
      <c r="F221">
        <v>32200</v>
      </c>
      <c r="G221" s="1">
        <v>46598</v>
      </c>
    </row>
    <row r="222" spans="1:7" x14ac:dyDescent="0.2">
      <c r="A222" t="s">
        <v>7</v>
      </c>
      <c r="B222" t="s">
        <v>23</v>
      </c>
      <c r="C222">
        <v>1957</v>
      </c>
      <c r="D222">
        <v>9785000</v>
      </c>
      <c r="E222">
        <v>8219400</v>
      </c>
      <c r="F222">
        <v>1565600</v>
      </c>
      <c r="G222" s="1">
        <v>46512</v>
      </c>
    </row>
    <row r="223" spans="1:7" x14ac:dyDescent="0.2">
      <c r="A223" t="s">
        <v>9</v>
      </c>
      <c r="B223" t="s">
        <v>14</v>
      </c>
      <c r="C223">
        <v>2585</v>
      </c>
      <c r="D223">
        <v>3102000</v>
      </c>
      <c r="E223">
        <v>2068000</v>
      </c>
      <c r="F223">
        <v>1034000</v>
      </c>
      <c r="G223" s="1">
        <v>46507</v>
      </c>
    </row>
    <row r="224" spans="1:7" x14ac:dyDescent="0.2">
      <c r="A224" t="s">
        <v>18</v>
      </c>
      <c r="B224" t="s">
        <v>19</v>
      </c>
      <c r="C224">
        <v>127</v>
      </c>
      <c r="D224">
        <v>5715000</v>
      </c>
      <c r="E224">
        <v>4826000</v>
      </c>
      <c r="F224">
        <v>889000</v>
      </c>
      <c r="G224" s="1">
        <v>46492</v>
      </c>
    </row>
    <row r="225" spans="1:7" x14ac:dyDescent="0.2">
      <c r="A225" t="s">
        <v>16</v>
      </c>
      <c r="B225" t="s">
        <v>23</v>
      </c>
      <c r="C225">
        <v>2923</v>
      </c>
      <c r="D225">
        <v>14615000</v>
      </c>
      <c r="E225">
        <v>12276600</v>
      </c>
      <c r="F225">
        <v>2338400</v>
      </c>
      <c r="G225" s="1">
        <v>46596</v>
      </c>
    </row>
    <row r="226" spans="1:7" x14ac:dyDescent="0.2">
      <c r="A226" t="s">
        <v>18</v>
      </c>
      <c r="B226" t="s">
        <v>10</v>
      </c>
      <c r="C226">
        <v>1874</v>
      </c>
      <c r="D226">
        <v>6559000</v>
      </c>
      <c r="E226">
        <v>4872400</v>
      </c>
      <c r="F226">
        <v>1686600</v>
      </c>
      <c r="G226" s="1">
        <v>46704</v>
      </c>
    </row>
    <row r="227" spans="1:7" x14ac:dyDescent="0.2">
      <c r="A227" t="s">
        <v>20</v>
      </c>
      <c r="B227" t="s">
        <v>8</v>
      </c>
      <c r="C227">
        <v>1343</v>
      </c>
      <c r="D227">
        <v>4029000</v>
      </c>
      <c r="E227">
        <v>2417400</v>
      </c>
      <c r="F227">
        <v>1611600</v>
      </c>
      <c r="G227" s="1">
        <v>46467</v>
      </c>
    </row>
    <row r="228" spans="1:7" x14ac:dyDescent="0.2">
      <c r="A228" t="s">
        <v>11</v>
      </c>
      <c r="B228" t="s">
        <v>12</v>
      </c>
      <c r="C228">
        <v>723</v>
      </c>
      <c r="D228">
        <v>867600</v>
      </c>
      <c r="E228">
        <v>614550</v>
      </c>
      <c r="F228">
        <v>253050</v>
      </c>
      <c r="G228" s="1">
        <v>46291</v>
      </c>
    </row>
    <row r="229" spans="1:7" x14ac:dyDescent="0.2">
      <c r="A229" t="s">
        <v>20</v>
      </c>
      <c r="B229" t="s">
        <v>19</v>
      </c>
      <c r="C229">
        <v>750</v>
      </c>
      <c r="D229">
        <v>33750000</v>
      </c>
      <c r="E229">
        <v>28500000</v>
      </c>
      <c r="F229">
        <v>5250000</v>
      </c>
      <c r="G229" s="1">
        <v>46289</v>
      </c>
    </row>
    <row r="230" spans="1:7" x14ac:dyDescent="0.2">
      <c r="A230" t="s">
        <v>7</v>
      </c>
      <c r="B230" t="s">
        <v>17</v>
      </c>
      <c r="C230">
        <v>808</v>
      </c>
      <c r="D230">
        <v>12120000</v>
      </c>
      <c r="E230">
        <v>8888000</v>
      </c>
      <c r="F230">
        <v>3232000</v>
      </c>
      <c r="G230" s="1">
        <v>46076</v>
      </c>
    </row>
    <row r="231" spans="1:7" x14ac:dyDescent="0.2">
      <c r="A231" t="s">
        <v>22</v>
      </c>
      <c r="B231" t="s">
        <v>8</v>
      </c>
      <c r="C231">
        <v>1973</v>
      </c>
      <c r="D231">
        <v>5919000</v>
      </c>
      <c r="E231">
        <v>3551400</v>
      </c>
      <c r="F231">
        <v>2367600</v>
      </c>
      <c r="G231" s="1">
        <v>46727</v>
      </c>
    </row>
    <row r="232" spans="1:7" x14ac:dyDescent="0.2">
      <c r="A232" t="s">
        <v>21</v>
      </c>
      <c r="B232" t="s">
        <v>14</v>
      </c>
      <c r="C232">
        <v>2825</v>
      </c>
      <c r="D232">
        <v>3390000</v>
      </c>
      <c r="E232">
        <v>2260000</v>
      </c>
      <c r="F232">
        <v>1130000</v>
      </c>
      <c r="G232" s="1">
        <v>46483</v>
      </c>
    </row>
    <row r="233" spans="1:7" x14ac:dyDescent="0.2">
      <c r="A233" t="s">
        <v>11</v>
      </c>
      <c r="B233" t="s">
        <v>10</v>
      </c>
      <c r="C233">
        <v>951</v>
      </c>
      <c r="D233">
        <v>3328500</v>
      </c>
      <c r="E233">
        <v>2472600</v>
      </c>
      <c r="F233">
        <v>855900</v>
      </c>
      <c r="G233" s="1">
        <v>46608</v>
      </c>
    </row>
    <row r="234" spans="1:7" x14ac:dyDescent="0.2">
      <c r="A234" t="s">
        <v>7</v>
      </c>
      <c r="B234" t="s">
        <v>17</v>
      </c>
      <c r="C234">
        <v>2986</v>
      </c>
      <c r="D234">
        <v>44790000</v>
      </c>
      <c r="E234">
        <v>32846000</v>
      </c>
      <c r="F234">
        <v>11944000</v>
      </c>
      <c r="G234" s="1">
        <v>46081</v>
      </c>
    </row>
    <row r="235" spans="1:7" x14ac:dyDescent="0.2">
      <c r="A235" t="s">
        <v>18</v>
      </c>
      <c r="B235" t="s">
        <v>12</v>
      </c>
      <c r="C235">
        <v>1042</v>
      </c>
      <c r="D235">
        <v>1250400</v>
      </c>
      <c r="E235">
        <v>885700</v>
      </c>
      <c r="F235">
        <v>364700</v>
      </c>
      <c r="G235" s="1">
        <v>46267</v>
      </c>
    </row>
    <row r="236" spans="1:7" x14ac:dyDescent="0.2">
      <c r="A236" t="s">
        <v>18</v>
      </c>
      <c r="B236" t="s">
        <v>19</v>
      </c>
      <c r="C236">
        <v>1241</v>
      </c>
      <c r="D236">
        <v>55845000</v>
      </c>
      <c r="E236">
        <v>47158000</v>
      </c>
      <c r="F236">
        <v>8687000</v>
      </c>
      <c r="G236" s="1">
        <v>46259</v>
      </c>
    </row>
    <row r="237" spans="1:7" x14ac:dyDescent="0.2">
      <c r="A237" t="s">
        <v>18</v>
      </c>
      <c r="B237" t="s">
        <v>12</v>
      </c>
      <c r="C237">
        <v>2436</v>
      </c>
      <c r="D237">
        <v>2923200</v>
      </c>
      <c r="E237">
        <v>2070600</v>
      </c>
      <c r="F237">
        <v>852600</v>
      </c>
      <c r="G237" s="1">
        <v>46408</v>
      </c>
    </row>
    <row r="238" spans="1:7" x14ac:dyDescent="0.2">
      <c r="A238" t="s">
        <v>22</v>
      </c>
      <c r="B238" t="s">
        <v>8</v>
      </c>
      <c r="C238">
        <v>2290</v>
      </c>
      <c r="D238">
        <v>6870000</v>
      </c>
      <c r="E238">
        <v>4122000</v>
      </c>
      <c r="F238">
        <v>2748000</v>
      </c>
      <c r="G238" s="1">
        <v>46628</v>
      </c>
    </row>
    <row r="239" spans="1:7" x14ac:dyDescent="0.2">
      <c r="A239" t="s">
        <v>20</v>
      </c>
      <c r="B239" t="s">
        <v>19</v>
      </c>
      <c r="C239">
        <v>1526</v>
      </c>
      <c r="D239">
        <v>68670000</v>
      </c>
      <c r="E239">
        <v>57988000</v>
      </c>
      <c r="F239">
        <v>10682000</v>
      </c>
      <c r="G239" s="1">
        <v>46738</v>
      </c>
    </row>
    <row r="240" spans="1:7" x14ac:dyDescent="0.2">
      <c r="A240" t="s">
        <v>21</v>
      </c>
      <c r="B240" t="s">
        <v>23</v>
      </c>
      <c r="C240">
        <v>2380</v>
      </c>
      <c r="D240">
        <v>11900000</v>
      </c>
      <c r="E240">
        <v>9996000</v>
      </c>
      <c r="F240">
        <v>1904000</v>
      </c>
      <c r="G240" s="1">
        <v>46731</v>
      </c>
    </row>
    <row r="241" spans="1:7" x14ac:dyDescent="0.2">
      <c r="A241" t="s">
        <v>18</v>
      </c>
      <c r="B241" t="s">
        <v>14</v>
      </c>
      <c r="C241">
        <v>439</v>
      </c>
      <c r="D241">
        <v>526800</v>
      </c>
      <c r="E241">
        <v>351200</v>
      </c>
      <c r="F241">
        <v>175600</v>
      </c>
      <c r="G241" s="1">
        <v>46322</v>
      </c>
    </row>
    <row r="242" spans="1:7" x14ac:dyDescent="0.2">
      <c r="A242" t="s">
        <v>15</v>
      </c>
      <c r="B242" t="s">
        <v>23</v>
      </c>
      <c r="C242">
        <v>1049</v>
      </c>
      <c r="D242">
        <v>5245000</v>
      </c>
      <c r="E242">
        <v>4405800</v>
      </c>
      <c r="F242">
        <v>839200</v>
      </c>
      <c r="G242" s="1">
        <v>46417</v>
      </c>
    </row>
    <row r="243" spans="1:7" x14ac:dyDescent="0.2">
      <c r="A243" t="s">
        <v>11</v>
      </c>
      <c r="B243" t="s">
        <v>23</v>
      </c>
      <c r="C243">
        <v>574</v>
      </c>
      <c r="D243">
        <v>2870000</v>
      </c>
      <c r="E243">
        <v>2410800</v>
      </c>
      <c r="F243">
        <v>459200</v>
      </c>
      <c r="G243" s="1">
        <v>46229</v>
      </c>
    </row>
    <row r="244" spans="1:7" x14ac:dyDescent="0.2">
      <c r="A244" t="s">
        <v>16</v>
      </c>
      <c r="B244" t="s">
        <v>12</v>
      </c>
      <c r="C244">
        <v>1905</v>
      </c>
      <c r="D244">
        <v>2286000</v>
      </c>
      <c r="E244">
        <v>1619250</v>
      </c>
      <c r="F244">
        <v>666750</v>
      </c>
      <c r="G244" s="1">
        <v>46065</v>
      </c>
    </row>
    <row r="245" spans="1:7" x14ac:dyDescent="0.2">
      <c r="A245" t="s">
        <v>15</v>
      </c>
      <c r="B245" t="s">
        <v>8</v>
      </c>
      <c r="C245">
        <v>1556</v>
      </c>
      <c r="D245">
        <v>4668000</v>
      </c>
      <c r="E245">
        <v>2800800</v>
      </c>
      <c r="F245">
        <v>1867200</v>
      </c>
      <c r="G245" s="1">
        <v>46615</v>
      </c>
    </row>
    <row r="246" spans="1:7" x14ac:dyDescent="0.2">
      <c r="A246" t="s">
        <v>21</v>
      </c>
      <c r="B246" t="s">
        <v>14</v>
      </c>
      <c r="C246">
        <v>708</v>
      </c>
      <c r="D246">
        <v>849600</v>
      </c>
      <c r="E246">
        <v>566400</v>
      </c>
      <c r="F246">
        <v>283200</v>
      </c>
      <c r="G246" s="1">
        <v>46536</v>
      </c>
    </row>
    <row r="247" spans="1:7" x14ac:dyDescent="0.2">
      <c r="A247" t="s">
        <v>22</v>
      </c>
      <c r="B247" t="s">
        <v>19</v>
      </c>
      <c r="C247">
        <v>2813</v>
      </c>
      <c r="D247">
        <v>126585000</v>
      </c>
      <c r="E247">
        <v>106894000</v>
      </c>
      <c r="F247">
        <v>19691000</v>
      </c>
      <c r="G247" s="1">
        <v>46200</v>
      </c>
    </row>
    <row r="248" spans="1:7" x14ac:dyDescent="0.2">
      <c r="A248" t="s">
        <v>21</v>
      </c>
      <c r="B248" t="s">
        <v>19</v>
      </c>
      <c r="C248">
        <v>940</v>
      </c>
      <c r="D248">
        <v>42300000</v>
      </c>
      <c r="E248">
        <v>35720000</v>
      </c>
      <c r="F248">
        <v>6580000</v>
      </c>
      <c r="G248" s="1">
        <v>46418</v>
      </c>
    </row>
    <row r="249" spans="1:7" x14ac:dyDescent="0.2">
      <c r="A249" t="s">
        <v>16</v>
      </c>
      <c r="B249" t="s">
        <v>10</v>
      </c>
      <c r="C249">
        <v>1531</v>
      </c>
      <c r="D249">
        <v>5358500</v>
      </c>
      <c r="E249">
        <v>3980600</v>
      </c>
      <c r="F249">
        <v>1377900</v>
      </c>
      <c r="G249" s="1">
        <v>46539</v>
      </c>
    </row>
    <row r="250" spans="1:7" x14ac:dyDescent="0.2">
      <c r="A250" t="s">
        <v>11</v>
      </c>
      <c r="B250" t="s">
        <v>17</v>
      </c>
      <c r="C250">
        <v>501</v>
      </c>
      <c r="D250">
        <v>7515000</v>
      </c>
      <c r="E250">
        <v>5511000</v>
      </c>
      <c r="F250">
        <v>2004000</v>
      </c>
      <c r="G250" s="1">
        <v>46680</v>
      </c>
    </row>
    <row r="251" spans="1:7" x14ac:dyDescent="0.2">
      <c r="A251" t="s">
        <v>16</v>
      </c>
      <c r="B251" t="s">
        <v>10</v>
      </c>
      <c r="C251">
        <v>2525</v>
      </c>
      <c r="D251">
        <v>8837500</v>
      </c>
      <c r="E251">
        <v>6565000</v>
      </c>
      <c r="F251">
        <v>2272500</v>
      </c>
      <c r="G251" s="1">
        <v>46340</v>
      </c>
    </row>
    <row r="252" spans="1:7" x14ac:dyDescent="0.2">
      <c r="A252" t="s">
        <v>9</v>
      </c>
      <c r="B252" t="s">
        <v>10</v>
      </c>
      <c r="C252">
        <v>1587</v>
      </c>
      <c r="D252">
        <v>5554500</v>
      </c>
      <c r="E252">
        <v>4126200</v>
      </c>
      <c r="F252">
        <v>1428300</v>
      </c>
      <c r="G252" s="1">
        <v>46478</v>
      </c>
    </row>
    <row r="253" spans="1:7" x14ac:dyDescent="0.2">
      <c r="A253" t="s">
        <v>11</v>
      </c>
      <c r="B253" t="s">
        <v>19</v>
      </c>
      <c r="C253">
        <v>932</v>
      </c>
      <c r="D253">
        <v>41940000</v>
      </c>
      <c r="E253">
        <v>35416000</v>
      </c>
      <c r="F253">
        <v>6524000</v>
      </c>
      <c r="G253" s="1">
        <v>46406</v>
      </c>
    </row>
    <row r="254" spans="1:7" x14ac:dyDescent="0.2">
      <c r="A254" t="s">
        <v>21</v>
      </c>
      <c r="B254" t="s">
        <v>12</v>
      </c>
      <c r="C254">
        <v>362</v>
      </c>
      <c r="D254">
        <v>434400</v>
      </c>
      <c r="E254">
        <v>307700</v>
      </c>
      <c r="F254">
        <v>126700</v>
      </c>
      <c r="G254" s="1">
        <v>46084</v>
      </c>
    </row>
    <row r="255" spans="1:7" x14ac:dyDescent="0.2">
      <c r="A255" t="s">
        <v>18</v>
      </c>
      <c r="B255" t="s">
        <v>23</v>
      </c>
      <c r="C255">
        <v>889</v>
      </c>
      <c r="D255">
        <v>4445000</v>
      </c>
      <c r="E255">
        <v>3733800</v>
      </c>
      <c r="F255">
        <v>711200</v>
      </c>
      <c r="G255" s="1">
        <v>46527</v>
      </c>
    </row>
    <row r="256" spans="1:7" x14ac:dyDescent="0.2">
      <c r="A256" t="s">
        <v>21</v>
      </c>
      <c r="B256" t="s">
        <v>8</v>
      </c>
      <c r="C256">
        <v>2616</v>
      </c>
      <c r="D256">
        <v>7848000</v>
      </c>
      <c r="E256">
        <v>4708800</v>
      </c>
      <c r="F256">
        <v>3139200</v>
      </c>
      <c r="G256" s="1">
        <v>46261</v>
      </c>
    </row>
    <row r="257" spans="1:7" x14ac:dyDescent="0.2">
      <c r="A257" t="s">
        <v>21</v>
      </c>
      <c r="B257" t="s">
        <v>23</v>
      </c>
      <c r="C257">
        <v>424</v>
      </c>
      <c r="D257">
        <v>2120000</v>
      </c>
      <c r="E257">
        <v>1780800</v>
      </c>
      <c r="F257">
        <v>339200</v>
      </c>
      <c r="G257" s="1">
        <v>46217</v>
      </c>
    </row>
    <row r="258" spans="1:7" x14ac:dyDescent="0.2">
      <c r="A258" t="s">
        <v>11</v>
      </c>
      <c r="B258" t="s">
        <v>23</v>
      </c>
      <c r="C258">
        <v>500</v>
      </c>
      <c r="D258">
        <v>2500000</v>
      </c>
      <c r="E258">
        <v>2100000</v>
      </c>
      <c r="F258">
        <v>400000</v>
      </c>
      <c r="G258" s="1">
        <v>46641</v>
      </c>
    </row>
    <row r="259" spans="1:7" x14ac:dyDescent="0.2">
      <c r="A259" t="s">
        <v>9</v>
      </c>
      <c r="B259" t="s">
        <v>14</v>
      </c>
      <c r="C259">
        <v>644</v>
      </c>
      <c r="D259">
        <v>772800</v>
      </c>
      <c r="E259">
        <v>515200</v>
      </c>
      <c r="F259">
        <v>257600</v>
      </c>
      <c r="G259" s="1">
        <v>46303</v>
      </c>
    </row>
    <row r="260" spans="1:7" x14ac:dyDescent="0.2">
      <c r="A260" t="s">
        <v>21</v>
      </c>
      <c r="B260" t="s">
        <v>19</v>
      </c>
      <c r="C260">
        <v>1283</v>
      </c>
      <c r="D260">
        <v>57735000</v>
      </c>
      <c r="E260">
        <v>48754000</v>
      </c>
      <c r="F260">
        <v>8981000</v>
      </c>
      <c r="G260" s="1">
        <v>46056</v>
      </c>
    </row>
    <row r="261" spans="1:7" x14ac:dyDescent="0.2">
      <c r="A261" t="s">
        <v>15</v>
      </c>
      <c r="B261" t="s">
        <v>8</v>
      </c>
      <c r="C261">
        <v>549</v>
      </c>
      <c r="D261">
        <v>1647000</v>
      </c>
      <c r="E261">
        <v>988200</v>
      </c>
      <c r="F261">
        <v>658800</v>
      </c>
      <c r="G261" s="1">
        <v>46270</v>
      </c>
    </row>
    <row r="262" spans="1:7" x14ac:dyDescent="0.2">
      <c r="A262" t="s">
        <v>7</v>
      </c>
      <c r="B262" t="s">
        <v>12</v>
      </c>
      <c r="C262">
        <v>513</v>
      </c>
      <c r="D262">
        <v>615600</v>
      </c>
      <c r="E262">
        <v>436050</v>
      </c>
      <c r="F262">
        <v>179550</v>
      </c>
      <c r="G262" s="1">
        <v>46707</v>
      </c>
    </row>
    <row r="263" spans="1:7" x14ac:dyDescent="0.2">
      <c r="A263" t="s">
        <v>13</v>
      </c>
      <c r="B263" t="s">
        <v>14</v>
      </c>
      <c r="C263">
        <v>162</v>
      </c>
      <c r="D263">
        <v>194400</v>
      </c>
      <c r="E263">
        <v>129600</v>
      </c>
      <c r="F263">
        <v>64800</v>
      </c>
      <c r="G263" s="1">
        <v>46148</v>
      </c>
    </row>
    <row r="264" spans="1:7" x14ac:dyDescent="0.2">
      <c r="A264" t="s">
        <v>13</v>
      </c>
      <c r="B264" t="s">
        <v>17</v>
      </c>
      <c r="C264">
        <v>1085</v>
      </c>
      <c r="D264">
        <v>16275000</v>
      </c>
      <c r="E264">
        <v>11935000</v>
      </c>
      <c r="F264">
        <v>4340000</v>
      </c>
      <c r="G264" s="1">
        <v>46400</v>
      </c>
    </row>
    <row r="265" spans="1:7" x14ac:dyDescent="0.2">
      <c r="A265" t="s">
        <v>21</v>
      </c>
      <c r="B265" t="s">
        <v>12</v>
      </c>
      <c r="C265">
        <v>2428</v>
      </c>
      <c r="D265">
        <v>2913600</v>
      </c>
      <c r="E265">
        <v>2063800</v>
      </c>
      <c r="F265">
        <v>849800</v>
      </c>
      <c r="G265" s="1">
        <v>46644</v>
      </c>
    </row>
    <row r="266" spans="1:7" x14ac:dyDescent="0.2">
      <c r="A266" t="s">
        <v>15</v>
      </c>
      <c r="B266" t="s">
        <v>10</v>
      </c>
      <c r="C266">
        <v>1974</v>
      </c>
      <c r="D266">
        <v>6909000</v>
      </c>
      <c r="E266">
        <v>5132400</v>
      </c>
      <c r="F266">
        <v>1776600</v>
      </c>
      <c r="G266" s="1">
        <v>46638</v>
      </c>
    </row>
    <row r="267" spans="1:7" x14ac:dyDescent="0.2">
      <c r="A267" t="s">
        <v>18</v>
      </c>
      <c r="B267" t="s">
        <v>12</v>
      </c>
      <c r="C267">
        <v>189</v>
      </c>
      <c r="D267">
        <v>226800</v>
      </c>
      <c r="E267">
        <v>160650</v>
      </c>
      <c r="F267">
        <v>66150</v>
      </c>
      <c r="G267" s="1">
        <v>46459</v>
      </c>
    </row>
    <row r="268" spans="1:7" x14ac:dyDescent="0.2">
      <c r="A268" t="s">
        <v>22</v>
      </c>
      <c r="B268" t="s">
        <v>12</v>
      </c>
      <c r="C268">
        <v>1474</v>
      </c>
      <c r="D268">
        <v>1768800</v>
      </c>
      <c r="E268">
        <v>1252900</v>
      </c>
      <c r="F268">
        <v>515900</v>
      </c>
      <c r="G268" s="1">
        <v>46229</v>
      </c>
    </row>
    <row r="269" spans="1:7" x14ac:dyDescent="0.2">
      <c r="A269" t="s">
        <v>22</v>
      </c>
      <c r="B269" t="s">
        <v>23</v>
      </c>
      <c r="C269">
        <v>2999</v>
      </c>
      <c r="D269">
        <v>14995000</v>
      </c>
      <c r="E269">
        <v>12595800</v>
      </c>
      <c r="F269">
        <v>2399200</v>
      </c>
      <c r="G269" s="1">
        <v>46410</v>
      </c>
    </row>
    <row r="270" spans="1:7" x14ac:dyDescent="0.2">
      <c r="A270" t="s">
        <v>11</v>
      </c>
      <c r="B270" t="s">
        <v>12</v>
      </c>
      <c r="C270">
        <v>566</v>
      </c>
      <c r="D270">
        <v>679200</v>
      </c>
      <c r="E270">
        <v>481100</v>
      </c>
      <c r="F270">
        <v>198100</v>
      </c>
      <c r="G270" s="1">
        <v>46502</v>
      </c>
    </row>
    <row r="271" spans="1:7" x14ac:dyDescent="0.2">
      <c r="A271" t="s">
        <v>13</v>
      </c>
      <c r="B271" t="s">
        <v>10</v>
      </c>
      <c r="C271">
        <v>2666</v>
      </c>
      <c r="D271">
        <v>9331000</v>
      </c>
      <c r="E271">
        <v>6931600</v>
      </c>
      <c r="F271">
        <v>2399400</v>
      </c>
      <c r="G271" s="1">
        <v>46185</v>
      </c>
    </row>
    <row r="272" spans="1:7" x14ac:dyDescent="0.2">
      <c r="A272" t="s">
        <v>21</v>
      </c>
      <c r="B272" t="s">
        <v>10</v>
      </c>
      <c r="C272">
        <v>1997</v>
      </c>
      <c r="D272">
        <v>6989500</v>
      </c>
      <c r="E272">
        <v>5192200</v>
      </c>
      <c r="F272">
        <v>1797300</v>
      </c>
      <c r="G272" s="1">
        <v>46185</v>
      </c>
    </row>
    <row r="273" spans="1:7" x14ac:dyDescent="0.2">
      <c r="A273" t="s">
        <v>22</v>
      </c>
      <c r="B273" t="s">
        <v>19</v>
      </c>
      <c r="C273">
        <v>2943</v>
      </c>
      <c r="D273">
        <v>132435000</v>
      </c>
      <c r="E273">
        <v>111834000</v>
      </c>
      <c r="F273">
        <v>20601000</v>
      </c>
      <c r="G273" s="1">
        <v>46226</v>
      </c>
    </row>
    <row r="274" spans="1:7" x14ac:dyDescent="0.2">
      <c r="A274" t="s">
        <v>21</v>
      </c>
      <c r="B274" t="s">
        <v>12</v>
      </c>
      <c r="C274">
        <v>2215</v>
      </c>
      <c r="D274">
        <v>2658000</v>
      </c>
      <c r="E274">
        <v>1882750</v>
      </c>
      <c r="F274">
        <v>775250</v>
      </c>
      <c r="G274" s="1">
        <v>46301</v>
      </c>
    </row>
    <row r="275" spans="1:7" x14ac:dyDescent="0.2">
      <c r="A275" t="s">
        <v>11</v>
      </c>
      <c r="B275" t="s">
        <v>23</v>
      </c>
      <c r="C275">
        <v>937</v>
      </c>
      <c r="D275">
        <v>4685000</v>
      </c>
      <c r="E275">
        <v>3935400</v>
      </c>
      <c r="F275">
        <v>749600</v>
      </c>
      <c r="G275" s="1">
        <v>46562</v>
      </c>
    </row>
    <row r="276" spans="1:7" x14ac:dyDescent="0.2">
      <c r="A276" t="s">
        <v>13</v>
      </c>
      <c r="B276" t="s">
        <v>12</v>
      </c>
      <c r="C276">
        <v>1391</v>
      </c>
      <c r="D276">
        <v>1669200</v>
      </c>
      <c r="E276">
        <v>1182350</v>
      </c>
      <c r="F276">
        <v>486850</v>
      </c>
      <c r="G276" s="1">
        <v>46414</v>
      </c>
    </row>
    <row r="277" spans="1:7" x14ac:dyDescent="0.2">
      <c r="A277" t="s">
        <v>16</v>
      </c>
      <c r="B277" t="s">
        <v>17</v>
      </c>
      <c r="C277">
        <v>99</v>
      </c>
      <c r="D277">
        <v>1485000</v>
      </c>
      <c r="E277">
        <v>1089000</v>
      </c>
      <c r="F277">
        <v>396000</v>
      </c>
      <c r="G277" s="1">
        <v>46610</v>
      </c>
    </row>
    <row r="278" spans="1:7" x14ac:dyDescent="0.2">
      <c r="A278" t="s">
        <v>7</v>
      </c>
      <c r="B278" t="s">
        <v>17</v>
      </c>
      <c r="C278">
        <v>68</v>
      </c>
      <c r="D278">
        <v>1020000</v>
      </c>
      <c r="E278">
        <v>748000</v>
      </c>
      <c r="F278">
        <v>272000</v>
      </c>
      <c r="G278" s="1">
        <v>46597</v>
      </c>
    </row>
    <row r="279" spans="1:7" x14ac:dyDescent="0.2">
      <c r="A279" t="s">
        <v>7</v>
      </c>
      <c r="B279" t="s">
        <v>23</v>
      </c>
      <c r="C279">
        <v>775</v>
      </c>
      <c r="D279">
        <v>3875000</v>
      </c>
      <c r="E279">
        <v>3255000</v>
      </c>
      <c r="F279">
        <v>620000</v>
      </c>
      <c r="G279" s="1">
        <v>46556</v>
      </c>
    </row>
    <row r="280" spans="1:7" x14ac:dyDescent="0.2">
      <c r="A280" t="s">
        <v>22</v>
      </c>
      <c r="B280" t="s">
        <v>19</v>
      </c>
      <c r="C280">
        <v>2294</v>
      </c>
      <c r="D280">
        <v>103230000</v>
      </c>
      <c r="E280">
        <v>87172000</v>
      </c>
      <c r="F280">
        <v>16058000</v>
      </c>
      <c r="G280" s="1">
        <v>46329</v>
      </c>
    </row>
    <row r="281" spans="1:7" x14ac:dyDescent="0.2">
      <c r="A281" t="s">
        <v>7</v>
      </c>
      <c r="B281" t="s">
        <v>19</v>
      </c>
      <c r="C281">
        <v>1523</v>
      </c>
      <c r="D281">
        <v>68535000</v>
      </c>
      <c r="E281">
        <v>57874000</v>
      </c>
      <c r="F281">
        <v>10661000</v>
      </c>
      <c r="G281" s="1">
        <v>46632</v>
      </c>
    </row>
    <row r="282" spans="1:7" x14ac:dyDescent="0.2">
      <c r="A282" t="s">
        <v>16</v>
      </c>
      <c r="B282" t="s">
        <v>10</v>
      </c>
      <c r="C282">
        <v>2656</v>
      </c>
      <c r="D282">
        <v>9296000</v>
      </c>
      <c r="E282">
        <v>6905600</v>
      </c>
      <c r="F282">
        <v>2390400</v>
      </c>
      <c r="G282" s="1">
        <v>46630</v>
      </c>
    </row>
    <row r="283" spans="1:7" x14ac:dyDescent="0.2">
      <c r="A283" t="s">
        <v>21</v>
      </c>
      <c r="B283" t="s">
        <v>10</v>
      </c>
      <c r="C283">
        <v>501</v>
      </c>
      <c r="D283">
        <v>1753500</v>
      </c>
      <c r="E283">
        <v>1302600</v>
      </c>
      <c r="F283">
        <v>450900</v>
      </c>
      <c r="G283" s="1">
        <v>46549</v>
      </c>
    </row>
    <row r="284" spans="1:7" x14ac:dyDescent="0.2">
      <c r="A284" t="s">
        <v>11</v>
      </c>
      <c r="B284" t="s">
        <v>14</v>
      </c>
      <c r="C284">
        <v>2386</v>
      </c>
      <c r="D284">
        <v>2863200</v>
      </c>
      <c r="E284">
        <v>1908800</v>
      </c>
      <c r="F284">
        <v>954400</v>
      </c>
      <c r="G284" s="1">
        <v>46613</v>
      </c>
    </row>
    <row r="285" spans="1:7" x14ac:dyDescent="0.2">
      <c r="A285" t="s">
        <v>16</v>
      </c>
      <c r="B285" t="s">
        <v>23</v>
      </c>
      <c r="C285">
        <v>1214</v>
      </c>
      <c r="D285">
        <v>6070000</v>
      </c>
      <c r="E285">
        <v>5098800</v>
      </c>
      <c r="F285">
        <v>971200</v>
      </c>
      <c r="G285" s="1">
        <v>46393</v>
      </c>
    </row>
    <row r="286" spans="1:7" x14ac:dyDescent="0.2">
      <c r="A286" t="s">
        <v>11</v>
      </c>
      <c r="B286" t="s">
        <v>12</v>
      </c>
      <c r="C286">
        <v>1157</v>
      </c>
      <c r="D286">
        <v>1388400</v>
      </c>
      <c r="E286">
        <v>983450</v>
      </c>
      <c r="F286">
        <v>404950</v>
      </c>
      <c r="G286" s="1">
        <v>46142</v>
      </c>
    </row>
    <row r="287" spans="1:7" x14ac:dyDescent="0.2">
      <c r="A287" t="s">
        <v>11</v>
      </c>
      <c r="B287" t="s">
        <v>8</v>
      </c>
      <c r="C287">
        <v>2488</v>
      </c>
      <c r="D287">
        <v>7464000</v>
      </c>
      <c r="E287">
        <v>4478400</v>
      </c>
      <c r="F287">
        <v>2985600</v>
      </c>
      <c r="G287" s="1">
        <v>46712</v>
      </c>
    </row>
    <row r="288" spans="1:7" x14ac:dyDescent="0.2">
      <c r="A288" t="s">
        <v>13</v>
      </c>
      <c r="B288" t="s">
        <v>23</v>
      </c>
      <c r="C288">
        <v>264</v>
      </c>
      <c r="D288">
        <v>1320000</v>
      </c>
      <c r="E288">
        <v>1108800</v>
      </c>
      <c r="F288">
        <v>211200</v>
      </c>
      <c r="G288" s="1">
        <v>46710</v>
      </c>
    </row>
    <row r="289" spans="1:7" x14ac:dyDescent="0.2">
      <c r="A289" t="s">
        <v>21</v>
      </c>
      <c r="B289" t="s">
        <v>14</v>
      </c>
      <c r="C289">
        <v>1599</v>
      </c>
      <c r="D289">
        <v>1918800</v>
      </c>
      <c r="E289">
        <v>1279200</v>
      </c>
      <c r="F289">
        <v>639600</v>
      </c>
      <c r="G289" s="1">
        <v>46150</v>
      </c>
    </row>
    <row r="290" spans="1:7" x14ac:dyDescent="0.2">
      <c r="A290" t="s">
        <v>15</v>
      </c>
      <c r="B290" t="s">
        <v>10</v>
      </c>
      <c r="C290">
        <v>2312</v>
      </c>
      <c r="D290">
        <v>8092000</v>
      </c>
      <c r="E290">
        <v>6011200</v>
      </c>
      <c r="F290">
        <v>2080800</v>
      </c>
      <c r="G290" s="1">
        <v>46078</v>
      </c>
    </row>
    <row r="291" spans="1:7" x14ac:dyDescent="0.2">
      <c r="A291" t="s">
        <v>7</v>
      </c>
      <c r="B291" t="s">
        <v>23</v>
      </c>
      <c r="C291">
        <v>177</v>
      </c>
      <c r="D291">
        <v>885000</v>
      </c>
      <c r="E291">
        <v>743400</v>
      </c>
      <c r="F291">
        <v>141600</v>
      </c>
      <c r="G291" s="1">
        <v>46388</v>
      </c>
    </row>
    <row r="292" spans="1:7" x14ac:dyDescent="0.2">
      <c r="A292" t="s">
        <v>15</v>
      </c>
      <c r="B292" t="s">
        <v>23</v>
      </c>
      <c r="C292">
        <v>1895</v>
      </c>
      <c r="D292">
        <v>9475000</v>
      </c>
      <c r="E292">
        <v>7959000</v>
      </c>
      <c r="F292">
        <v>1516000</v>
      </c>
      <c r="G292" s="1">
        <v>46721</v>
      </c>
    </row>
    <row r="293" spans="1:7" x14ac:dyDescent="0.2">
      <c r="A293" t="s">
        <v>13</v>
      </c>
      <c r="B293" t="s">
        <v>10</v>
      </c>
      <c r="C293">
        <v>809</v>
      </c>
      <c r="D293">
        <v>2831500</v>
      </c>
      <c r="E293">
        <v>2103400</v>
      </c>
      <c r="F293">
        <v>728100</v>
      </c>
      <c r="G293" s="1">
        <v>46526</v>
      </c>
    </row>
    <row r="294" spans="1:7" x14ac:dyDescent="0.2">
      <c r="A294" t="s">
        <v>11</v>
      </c>
      <c r="B294" t="s">
        <v>14</v>
      </c>
      <c r="C294">
        <v>2501</v>
      </c>
      <c r="D294">
        <v>3001200</v>
      </c>
      <c r="E294">
        <v>2000800</v>
      </c>
      <c r="F294">
        <v>1000400</v>
      </c>
      <c r="G294" s="1">
        <v>46477</v>
      </c>
    </row>
    <row r="295" spans="1:7" x14ac:dyDescent="0.2">
      <c r="A295" t="s">
        <v>22</v>
      </c>
      <c r="B295" t="s">
        <v>10</v>
      </c>
      <c r="C295">
        <v>1865</v>
      </c>
      <c r="D295">
        <v>6527500</v>
      </c>
      <c r="E295">
        <v>4849000</v>
      </c>
      <c r="F295">
        <v>1678500</v>
      </c>
      <c r="G295" s="1">
        <v>46126</v>
      </c>
    </row>
    <row r="296" spans="1:7" x14ac:dyDescent="0.2">
      <c r="A296" t="s">
        <v>7</v>
      </c>
      <c r="B296" t="s">
        <v>19</v>
      </c>
      <c r="C296">
        <v>2435</v>
      </c>
      <c r="D296">
        <v>109575000</v>
      </c>
      <c r="E296">
        <v>92530000</v>
      </c>
      <c r="F296">
        <v>17045000</v>
      </c>
      <c r="G296" s="1">
        <v>46099</v>
      </c>
    </row>
    <row r="297" spans="1:7" x14ac:dyDescent="0.2">
      <c r="A297" t="s">
        <v>7</v>
      </c>
      <c r="B297" t="s">
        <v>12</v>
      </c>
      <c r="C297">
        <v>2928</v>
      </c>
      <c r="D297">
        <v>3513600</v>
      </c>
      <c r="E297">
        <v>2488800</v>
      </c>
      <c r="F297">
        <v>1024800</v>
      </c>
      <c r="G297" s="1">
        <v>46252</v>
      </c>
    </row>
    <row r="298" spans="1:7" x14ac:dyDescent="0.2">
      <c r="A298" t="s">
        <v>21</v>
      </c>
      <c r="B298" t="s">
        <v>10</v>
      </c>
      <c r="C298">
        <v>2811</v>
      </c>
      <c r="D298">
        <v>9838500</v>
      </c>
      <c r="E298">
        <v>7308600</v>
      </c>
      <c r="F298">
        <v>2529900</v>
      </c>
      <c r="G298" s="1">
        <v>46280</v>
      </c>
    </row>
    <row r="299" spans="1:7" x14ac:dyDescent="0.2">
      <c r="A299" t="s">
        <v>9</v>
      </c>
      <c r="B299" t="s">
        <v>14</v>
      </c>
      <c r="C299">
        <v>410</v>
      </c>
      <c r="D299">
        <v>492000</v>
      </c>
      <c r="E299">
        <v>328000</v>
      </c>
      <c r="F299">
        <v>164000</v>
      </c>
      <c r="G299" s="1">
        <v>46286</v>
      </c>
    </row>
    <row r="300" spans="1:7" x14ac:dyDescent="0.2">
      <c r="A300" t="s">
        <v>20</v>
      </c>
      <c r="B300" t="s">
        <v>17</v>
      </c>
      <c r="C300">
        <v>618</v>
      </c>
      <c r="D300">
        <v>9270000</v>
      </c>
      <c r="E300">
        <v>6798000</v>
      </c>
      <c r="F300">
        <v>2472000</v>
      </c>
      <c r="G300" s="1">
        <v>46353</v>
      </c>
    </row>
    <row r="301" spans="1:7" x14ac:dyDescent="0.2">
      <c r="A301" t="s">
        <v>20</v>
      </c>
      <c r="B301" t="s">
        <v>19</v>
      </c>
      <c r="C301">
        <v>1465</v>
      </c>
      <c r="D301">
        <v>65925000</v>
      </c>
      <c r="E301">
        <v>55670000</v>
      </c>
      <c r="F301">
        <v>10255000</v>
      </c>
      <c r="G301" s="1">
        <v>46029</v>
      </c>
    </row>
    <row r="302" spans="1:7" x14ac:dyDescent="0.2">
      <c r="A302" t="s">
        <v>20</v>
      </c>
      <c r="B302" t="s">
        <v>17</v>
      </c>
      <c r="C302">
        <v>2315</v>
      </c>
      <c r="D302">
        <v>34725000</v>
      </c>
      <c r="E302">
        <v>25465000</v>
      </c>
      <c r="F302">
        <v>9260000</v>
      </c>
      <c r="G302" s="1">
        <v>46484</v>
      </c>
    </row>
    <row r="303" spans="1:7" x14ac:dyDescent="0.2">
      <c r="A303" t="s">
        <v>9</v>
      </c>
      <c r="B303" t="s">
        <v>8</v>
      </c>
      <c r="C303">
        <v>1647</v>
      </c>
      <c r="D303">
        <v>4941000</v>
      </c>
      <c r="E303">
        <v>2964600</v>
      </c>
      <c r="F303">
        <v>1976400</v>
      </c>
      <c r="G303" s="1">
        <v>46710</v>
      </c>
    </row>
    <row r="304" spans="1:7" x14ac:dyDescent="0.2">
      <c r="A304" t="s">
        <v>21</v>
      </c>
      <c r="B304" t="s">
        <v>10</v>
      </c>
      <c r="C304">
        <v>1742</v>
      </c>
      <c r="D304">
        <v>6097000</v>
      </c>
      <c r="E304">
        <v>4529200</v>
      </c>
      <c r="F304">
        <v>1567800</v>
      </c>
      <c r="G304" s="1">
        <v>46049</v>
      </c>
    </row>
    <row r="305" spans="1:7" x14ac:dyDescent="0.2">
      <c r="A305" t="s">
        <v>9</v>
      </c>
      <c r="B305" t="s">
        <v>19</v>
      </c>
      <c r="C305">
        <v>251</v>
      </c>
      <c r="D305">
        <v>11295000</v>
      </c>
      <c r="E305">
        <v>9538000</v>
      </c>
      <c r="F305">
        <v>1757000</v>
      </c>
      <c r="G305" s="1">
        <v>46091</v>
      </c>
    </row>
    <row r="306" spans="1:7" x14ac:dyDescent="0.2">
      <c r="A306" t="s">
        <v>20</v>
      </c>
      <c r="B306" t="s">
        <v>12</v>
      </c>
      <c r="C306">
        <v>2114</v>
      </c>
      <c r="D306">
        <v>2536800</v>
      </c>
      <c r="E306">
        <v>1796900</v>
      </c>
      <c r="F306">
        <v>739900</v>
      </c>
      <c r="G306" s="1">
        <v>46674</v>
      </c>
    </row>
    <row r="307" spans="1:7" x14ac:dyDescent="0.2">
      <c r="A307" t="s">
        <v>13</v>
      </c>
      <c r="B307" t="s">
        <v>10</v>
      </c>
      <c r="C307">
        <v>2419</v>
      </c>
      <c r="D307">
        <v>8466500</v>
      </c>
      <c r="E307">
        <v>6289400</v>
      </c>
      <c r="F307">
        <v>2177100</v>
      </c>
      <c r="G307" s="1">
        <v>46321</v>
      </c>
    </row>
    <row r="308" spans="1:7" x14ac:dyDescent="0.2">
      <c r="A308" t="s">
        <v>16</v>
      </c>
      <c r="B308" t="s">
        <v>12</v>
      </c>
      <c r="C308">
        <v>567</v>
      </c>
      <c r="D308">
        <v>680400</v>
      </c>
      <c r="E308">
        <v>481950</v>
      </c>
      <c r="F308">
        <v>198450</v>
      </c>
      <c r="G308" s="1">
        <v>46026</v>
      </c>
    </row>
    <row r="309" spans="1:7" x14ac:dyDescent="0.2">
      <c r="A309" t="s">
        <v>11</v>
      </c>
      <c r="B309" t="s">
        <v>23</v>
      </c>
      <c r="C309">
        <v>1398</v>
      </c>
      <c r="D309">
        <v>6990000</v>
      </c>
      <c r="E309">
        <v>5871600</v>
      </c>
      <c r="F309">
        <v>1118400</v>
      </c>
      <c r="G309" s="1">
        <v>46502</v>
      </c>
    </row>
    <row r="310" spans="1:7" x14ac:dyDescent="0.2">
      <c r="A310" t="s">
        <v>9</v>
      </c>
      <c r="B310" t="s">
        <v>17</v>
      </c>
      <c r="C310">
        <v>1485</v>
      </c>
      <c r="D310">
        <v>22275000</v>
      </c>
      <c r="E310">
        <v>16335000</v>
      </c>
      <c r="F310">
        <v>5940000</v>
      </c>
      <c r="G310" s="1">
        <v>46595</v>
      </c>
    </row>
    <row r="311" spans="1:7" x14ac:dyDescent="0.2">
      <c r="A311" t="s">
        <v>21</v>
      </c>
      <c r="B311" t="s">
        <v>19</v>
      </c>
      <c r="C311">
        <v>1391</v>
      </c>
      <c r="D311">
        <v>62595000</v>
      </c>
      <c r="E311">
        <v>52858000</v>
      </c>
      <c r="F311">
        <v>9737000</v>
      </c>
      <c r="G311" s="1">
        <v>46450</v>
      </c>
    </row>
    <row r="312" spans="1:7" x14ac:dyDescent="0.2">
      <c r="A312" t="s">
        <v>21</v>
      </c>
      <c r="B312" t="s">
        <v>12</v>
      </c>
      <c r="C312">
        <v>730</v>
      </c>
      <c r="D312">
        <v>876000</v>
      </c>
      <c r="E312">
        <v>620500</v>
      </c>
      <c r="F312">
        <v>255500</v>
      </c>
      <c r="G312" s="1">
        <v>46473</v>
      </c>
    </row>
    <row r="313" spans="1:7" x14ac:dyDescent="0.2">
      <c r="A313" t="s">
        <v>15</v>
      </c>
      <c r="B313" t="s">
        <v>14</v>
      </c>
      <c r="C313">
        <v>2038</v>
      </c>
      <c r="D313">
        <v>2445600</v>
      </c>
      <c r="E313">
        <v>1630400</v>
      </c>
      <c r="F313">
        <v>815200</v>
      </c>
      <c r="G313" s="1">
        <v>46387</v>
      </c>
    </row>
    <row r="314" spans="1:7" x14ac:dyDescent="0.2">
      <c r="A314" t="s">
        <v>16</v>
      </c>
      <c r="B314" t="s">
        <v>12</v>
      </c>
      <c r="C314">
        <v>1541</v>
      </c>
      <c r="D314">
        <v>1849200</v>
      </c>
      <c r="E314">
        <v>1309850</v>
      </c>
      <c r="F314">
        <v>539350</v>
      </c>
      <c r="G314" s="1">
        <v>46549</v>
      </c>
    </row>
    <row r="315" spans="1:7" x14ac:dyDescent="0.2">
      <c r="A315" t="s">
        <v>22</v>
      </c>
      <c r="B315" t="s">
        <v>14</v>
      </c>
      <c r="C315">
        <v>474</v>
      </c>
      <c r="D315">
        <v>568800</v>
      </c>
      <c r="E315">
        <v>379200</v>
      </c>
      <c r="F315">
        <v>189600</v>
      </c>
      <c r="G315" s="1">
        <v>46373</v>
      </c>
    </row>
    <row r="316" spans="1:7" x14ac:dyDescent="0.2">
      <c r="A316" t="s">
        <v>7</v>
      </c>
      <c r="B316" t="s">
        <v>10</v>
      </c>
      <c r="C316">
        <v>2018</v>
      </c>
      <c r="D316">
        <v>7063000</v>
      </c>
      <c r="E316">
        <v>5246800</v>
      </c>
      <c r="F316">
        <v>1816200</v>
      </c>
      <c r="G316" s="1">
        <v>46677</v>
      </c>
    </row>
    <row r="317" spans="1:7" x14ac:dyDescent="0.2">
      <c r="A317" t="s">
        <v>20</v>
      </c>
      <c r="B317" t="s">
        <v>19</v>
      </c>
      <c r="C317">
        <v>1762</v>
      </c>
      <c r="D317">
        <v>79290000</v>
      </c>
      <c r="E317">
        <v>66956000</v>
      </c>
      <c r="F317">
        <v>12334000</v>
      </c>
      <c r="G317" s="1">
        <v>46479</v>
      </c>
    </row>
    <row r="318" spans="1:7" x14ac:dyDescent="0.2">
      <c r="A318" t="s">
        <v>22</v>
      </c>
      <c r="B318" t="s">
        <v>12</v>
      </c>
      <c r="C318">
        <v>2484</v>
      </c>
      <c r="D318">
        <v>2980800</v>
      </c>
      <c r="E318">
        <v>2111400</v>
      </c>
      <c r="F318">
        <v>869400</v>
      </c>
      <c r="G318" s="1">
        <v>46304</v>
      </c>
    </row>
    <row r="319" spans="1:7" x14ac:dyDescent="0.2">
      <c r="A319" t="s">
        <v>15</v>
      </c>
      <c r="B319" t="s">
        <v>8</v>
      </c>
      <c r="C319">
        <v>827</v>
      </c>
      <c r="D319">
        <v>2481000</v>
      </c>
      <c r="E319">
        <v>1488600</v>
      </c>
      <c r="F319">
        <v>992400</v>
      </c>
      <c r="G319" s="1">
        <v>46481</v>
      </c>
    </row>
    <row r="320" spans="1:7" x14ac:dyDescent="0.2">
      <c r="A320" t="s">
        <v>20</v>
      </c>
      <c r="B320" t="s">
        <v>12</v>
      </c>
      <c r="C320">
        <v>2195</v>
      </c>
      <c r="D320">
        <v>2634000</v>
      </c>
      <c r="E320">
        <v>1865750</v>
      </c>
      <c r="F320">
        <v>768250</v>
      </c>
      <c r="G320" s="1">
        <v>46721</v>
      </c>
    </row>
    <row r="321" spans="1:7" x14ac:dyDescent="0.2">
      <c r="A321" t="s">
        <v>16</v>
      </c>
      <c r="B321" t="s">
        <v>8</v>
      </c>
      <c r="C321">
        <v>1876</v>
      </c>
      <c r="D321">
        <v>5628000</v>
      </c>
      <c r="E321">
        <v>3376800</v>
      </c>
      <c r="F321">
        <v>2251200</v>
      </c>
      <c r="G321" s="1">
        <v>46521</v>
      </c>
    </row>
    <row r="322" spans="1:7" x14ac:dyDescent="0.2">
      <c r="A322" t="s">
        <v>15</v>
      </c>
      <c r="B322" t="s">
        <v>19</v>
      </c>
      <c r="C322">
        <v>257</v>
      </c>
      <c r="D322">
        <v>11565000</v>
      </c>
      <c r="E322">
        <v>9766000</v>
      </c>
      <c r="F322">
        <v>1799000</v>
      </c>
      <c r="G322" s="1">
        <v>46530</v>
      </c>
    </row>
    <row r="323" spans="1:7" x14ac:dyDescent="0.2">
      <c r="A323" t="s">
        <v>20</v>
      </c>
      <c r="B323" t="s">
        <v>12</v>
      </c>
      <c r="C323">
        <v>1587</v>
      </c>
      <c r="D323">
        <v>1904400</v>
      </c>
      <c r="E323">
        <v>1348950</v>
      </c>
      <c r="F323">
        <v>555450</v>
      </c>
      <c r="G323" s="1">
        <v>46326</v>
      </c>
    </row>
    <row r="324" spans="1:7" x14ac:dyDescent="0.2">
      <c r="A324" t="s">
        <v>16</v>
      </c>
      <c r="B324" t="s">
        <v>14</v>
      </c>
      <c r="C324">
        <v>1709</v>
      </c>
      <c r="D324">
        <v>2050800</v>
      </c>
      <c r="E324">
        <v>1367200</v>
      </c>
      <c r="F324">
        <v>683600</v>
      </c>
      <c r="G324" s="1">
        <v>46523</v>
      </c>
    </row>
    <row r="325" spans="1:7" x14ac:dyDescent="0.2">
      <c r="A325" t="s">
        <v>18</v>
      </c>
      <c r="B325" t="s">
        <v>12</v>
      </c>
      <c r="C325">
        <v>2683</v>
      </c>
      <c r="D325">
        <v>3219600</v>
      </c>
      <c r="E325">
        <v>2280550</v>
      </c>
      <c r="F325">
        <v>939050</v>
      </c>
      <c r="G325" s="1">
        <v>46620</v>
      </c>
    </row>
    <row r="326" spans="1:7" x14ac:dyDescent="0.2">
      <c r="A326" t="s">
        <v>22</v>
      </c>
      <c r="B326" t="s">
        <v>17</v>
      </c>
      <c r="C326">
        <v>2263</v>
      </c>
      <c r="D326">
        <v>33945000</v>
      </c>
      <c r="E326">
        <v>24893000</v>
      </c>
      <c r="F326">
        <v>9052000</v>
      </c>
      <c r="G326" s="1">
        <v>46188</v>
      </c>
    </row>
    <row r="327" spans="1:7" x14ac:dyDescent="0.2">
      <c r="A327" t="s">
        <v>22</v>
      </c>
      <c r="B327" t="s">
        <v>10</v>
      </c>
      <c r="C327">
        <v>71</v>
      </c>
      <c r="D327">
        <v>248500</v>
      </c>
      <c r="E327">
        <v>184600</v>
      </c>
      <c r="F327">
        <v>63900</v>
      </c>
      <c r="G327" s="1">
        <v>46437</v>
      </c>
    </row>
    <row r="328" spans="1:7" x14ac:dyDescent="0.2">
      <c r="A328" t="s">
        <v>7</v>
      </c>
      <c r="B328" t="s">
        <v>23</v>
      </c>
      <c r="C328">
        <v>203</v>
      </c>
      <c r="D328">
        <v>1015000</v>
      </c>
      <c r="E328">
        <v>852600</v>
      </c>
      <c r="F328">
        <v>162400</v>
      </c>
      <c r="G328" s="1">
        <v>46572</v>
      </c>
    </row>
    <row r="329" spans="1:7" x14ac:dyDescent="0.2">
      <c r="A329" t="s">
        <v>16</v>
      </c>
      <c r="B329" t="s">
        <v>14</v>
      </c>
      <c r="C329">
        <v>2012</v>
      </c>
      <c r="D329">
        <v>2414400</v>
      </c>
      <c r="E329">
        <v>1609600</v>
      </c>
      <c r="F329">
        <v>804800</v>
      </c>
      <c r="G329" s="1">
        <v>46136</v>
      </c>
    </row>
    <row r="330" spans="1:7" x14ac:dyDescent="0.2">
      <c r="A330" t="s">
        <v>9</v>
      </c>
      <c r="B330" t="s">
        <v>17</v>
      </c>
      <c r="C330">
        <v>268</v>
      </c>
      <c r="D330">
        <v>4020000</v>
      </c>
      <c r="E330">
        <v>2948000</v>
      </c>
      <c r="F330">
        <v>1072000</v>
      </c>
      <c r="G330" s="1">
        <v>46633</v>
      </c>
    </row>
    <row r="331" spans="1:7" x14ac:dyDescent="0.2">
      <c r="A331" t="s">
        <v>18</v>
      </c>
      <c r="B331" t="s">
        <v>8</v>
      </c>
      <c r="C331">
        <v>718</v>
      </c>
      <c r="D331">
        <v>2154000</v>
      </c>
      <c r="E331">
        <v>1292400</v>
      </c>
      <c r="F331">
        <v>861600</v>
      </c>
      <c r="G331" s="1">
        <v>46378</v>
      </c>
    </row>
    <row r="332" spans="1:7" x14ac:dyDescent="0.2">
      <c r="A332" t="s">
        <v>13</v>
      </c>
      <c r="B332" t="s">
        <v>10</v>
      </c>
      <c r="C332">
        <v>1568</v>
      </c>
      <c r="D332">
        <v>5488000</v>
      </c>
      <c r="E332">
        <v>4076800</v>
      </c>
      <c r="F332">
        <v>1411200</v>
      </c>
      <c r="G332" s="1">
        <v>46717</v>
      </c>
    </row>
    <row r="333" spans="1:7" x14ac:dyDescent="0.2">
      <c r="A333" t="s">
        <v>20</v>
      </c>
      <c r="B333" t="s">
        <v>19</v>
      </c>
      <c r="C333">
        <v>2327</v>
      </c>
      <c r="D333">
        <v>104715000</v>
      </c>
      <c r="E333">
        <v>88426000</v>
      </c>
      <c r="F333">
        <v>16289000</v>
      </c>
      <c r="G333" s="1">
        <v>46229</v>
      </c>
    </row>
    <row r="334" spans="1:7" x14ac:dyDescent="0.2">
      <c r="A334" t="s">
        <v>18</v>
      </c>
      <c r="B334" t="s">
        <v>14</v>
      </c>
      <c r="C334">
        <v>2117</v>
      </c>
      <c r="D334">
        <v>2540400</v>
      </c>
      <c r="E334">
        <v>1693600</v>
      </c>
      <c r="F334">
        <v>846800</v>
      </c>
      <c r="G334" s="1">
        <v>46257</v>
      </c>
    </row>
    <row r="335" spans="1:7" x14ac:dyDescent="0.2">
      <c r="A335" t="s">
        <v>16</v>
      </c>
      <c r="B335" t="s">
        <v>23</v>
      </c>
      <c r="C335">
        <v>2650</v>
      </c>
      <c r="D335">
        <v>13250000</v>
      </c>
      <c r="E335">
        <v>11130000</v>
      </c>
      <c r="F335">
        <v>2120000</v>
      </c>
      <c r="G335" s="1">
        <v>46464</v>
      </c>
    </row>
    <row r="336" spans="1:7" x14ac:dyDescent="0.2">
      <c r="A336" t="s">
        <v>11</v>
      </c>
      <c r="B336" t="s">
        <v>10</v>
      </c>
      <c r="C336">
        <v>999</v>
      </c>
      <c r="D336">
        <v>3496500</v>
      </c>
      <c r="E336">
        <v>2597400</v>
      </c>
      <c r="F336">
        <v>899100</v>
      </c>
      <c r="G336" s="1">
        <v>46377</v>
      </c>
    </row>
    <row r="337" spans="1:7" x14ac:dyDescent="0.2">
      <c r="A337" t="s">
        <v>20</v>
      </c>
      <c r="B337" t="s">
        <v>8</v>
      </c>
      <c r="C337">
        <v>2245</v>
      </c>
      <c r="D337">
        <v>6735000</v>
      </c>
      <c r="E337">
        <v>4041000</v>
      </c>
      <c r="F337">
        <v>2694000</v>
      </c>
      <c r="G337" s="1">
        <v>46537</v>
      </c>
    </row>
    <row r="338" spans="1:7" x14ac:dyDescent="0.2">
      <c r="A338" t="s">
        <v>21</v>
      </c>
      <c r="B338" t="s">
        <v>23</v>
      </c>
      <c r="C338">
        <v>452</v>
      </c>
      <c r="D338">
        <v>2260000</v>
      </c>
      <c r="E338">
        <v>1898400</v>
      </c>
      <c r="F338">
        <v>361600</v>
      </c>
      <c r="G338" s="1">
        <v>46230</v>
      </c>
    </row>
    <row r="339" spans="1:7" x14ac:dyDescent="0.2">
      <c r="A339" t="s">
        <v>22</v>
      </c>
      <c r="B339" t="s">
        <v>19</v>
      </c>
      <c r="C339">
        <v>645</v>
      </c>
      <c r="D339">
        <v>29025000</v>
      </c>
      <c r="E339">
        <v>24510000</v>
      </c>
      <c r="F339">
        <v>4515000</v>
      </c>
      <c r="G339" s="1">
        <v>46672</v>
      </c>
    </row>
    <row r="340" spans="1:7" x14ac:dyDescent="0.2">
      <c r="A340" t="s">
        <v>16</v>
      </c>
      <c r="B340" t="s">
        <v>19</v>
      </c>
      <c r="C340">
        <v>2464</v>
      </c>
      <c r="D340">
        <v>110880000</v>
      </c>
      <c r="E340">
        <v>93632000</v>
      </c>
      <c r="F340">
        <v>17248000</v>
      </c>
      <c r="G340" s="1">
        <v>46147</v>
      </c>
    </row>
    <row r="341" spans="1:7" x14ac:dyDescent="0.2">
      <c r="A341" t="s">
        <v>21</v>
      </c>
      <c r="B341" t="s">
        <v>8</v>
      </c>
      <c r="C341">
        <v>1487</v>
      </c>
      <c r="D341">
        <v>4461000</v>
      </c>
      <c r="E341">
        <v>2676600</v>
      </c>
      <c r="F341">
        <v>1784400</v>
      </c>
      <c r="G341" s="1">
        <v>46160</v>
      </c>
    </row>
    <row r="342" spans="1:7" x14ac:dyDescent="0.2">
      <c r="A342" t="s">
        <v>7</v>
      </c>
      <c r="B342" t="s">
        <v>14</v>
      </c>
      <c r="C342">
        <v>2899</v>
      </c>
      <c r="D342">
        <v>3478800</v>
      </c>
      <c r="E342">
        <v>2319200</v>
      </c>
      <c r="F342">
        <v>1159600</v>
      </c>
      <c r="G342" s="1">
        <v>46154</v>
      </c>
    </row>
    <row r="343" spans="1:7" x14ac:dyDescent="0.2">
      <c r="A343" t="s">
        <v>15</v>
      </c>
      <c r="B343" t="s">
        <v>8</v>
      </c>
      <c r="C343">
        <v>1207</v>
      </c>
      <c r="D343">
        <v>3621000</v>
      </c>
      <c r="E343">
        <v>2172600</v>
      </c>
      <c r="F343">
        <v>1448400</v>
      </c>
      <c r="G343" s="1">
        <v>46559</v>
      </c>
    </row>
    <row r="344" spans="1:7" x14ac:dyDescent="0.2">
      <c r="A344" t="s">
        <v>13</v>
      </c>
      <c r="B344" t="s">
        <v>12</v>
      </c>
      <c r="C344">
        <v>1792</v>
      </c>
      <c r="D344">
        <v>2150400</v>
      </c>
      <c r="E344">
        <v>1523200</v>
      </c>
      <c r="F344">
        <v>627200</v>
      </c>
      <c r="G344" s="1">
        <v>46268</v>
      </c>
    </row>
    <row r="345" spans="1:7" x14ac:dyDescent="0.2">
      <c r="A345" t="s">
        <v>13</v>
      </c>
      <c r="B345" t="s">
        <v>19</v>
      </c>
      <c r="C345">
        <v>1356</v>
      </c>
      <c r="D345">
        <v>61020000</v>
      </c>
      <c r="E345">
        <v>51528000</v>
      </c>
      <c r="F345">
        <v>9492000</v>
      </c>
      <c r="G345" s="1">
        <v>46595</v>
      </c>
    </row>
    <row r="346" spans="1:7" x14ac:dyDescent="0.2">
      <c r="A346" t="s">
        <v>21</v>
      </c>
      <c r="B346" t="s">
        <v>10</v>
      </c>
      <c r="C346">
        <v>122</v>
      </c>
      <c r="D346">
        <v>427000</v>
      </c>
      <c r="E346">
        <v>317200</v>
      </c>
      <c r="F346">
        <v>109800</v>
      </c>
      <c r="G346" s="1">
        <v>46563</v>
      </c>
    </row>
    <row r="347" spans="1:7" x14ac:dyDescent="0.2">
      <c r="A347" t="s">
        <v>22</v>
      </c>
      <c r="B347" t="s">
        <v>12</v>
      </c>
      <c r="C347">
        <v>530</v>
      </c>
      <c r="D347">
        <v>636000</v>
      </c>
      <c r="E347">
        <v>450500</v>
      </c>
      <c r="F347">
        <v>185500</v>
      </c>
      <c r="G347" s="1">
        <v>46405</v>
      </c>
    </row>
    <row r="348" spans="1:7" x14ac:dyDescent="0.2">
      <c r="A348" t="s">
        <v>7</v>
      </c>
      <c r="B348" t="s">
        <v>17</v>
      </c>
      <c r="C348">
        <v>609</v>
      </c>
      <c r="D348">
        <v>9135000</v>
      </c>
      <c r="E348">
        <v>6699000</v>
      </c>
      <c r="F348">
        <v>2436000</v>
      </c>
      <c r="G348" s="1">
        <v>46041</v>
      </c>
    </row>
    <row r="349" spans="1:7" x14ac:dyDescent="0.2">
      <c r="A349" t="s">
        <v>11</v>
      </c>
      <c r="B349" t="s">
        <v>23</v>
      </c>
      <c r="C349">
        <v>794</v>
      </c>
      <c r="D349">
        <v>3970000</v>
      </c>
      <c r="E349">
        <v>3334800</v>
      </c>
      <c r="F349">
        <v>635200</v>
      </c>
      <c r="G349" s="1">
        <v>46705</v>
      </c>
    </row>
    <row r="350" spans="1:7" x14ac:dyDescent="0.2">
      <c r="A350" t="s">
        <v>22</v>
      </c>
      <c r="B350" t="s">
        <v>12</v>
      </c>
      <c r="C350">
        <v>1516</v>
      </c>
      <c r="D350">
        <v>1819200</v>
      </c>
      <c r="E350">
        <v>1288600</v>
      </c>
      <c r="F350">
        <v>530600</v>
      </c>
      <c r="G350" s="1">
        <v>46472</v>
      </c>
    </row>
    <row r="351" spans="1:7" x14ac:dyDescent="0.2">
      <c r="A351" t="s">
        <v>18</v>
      </c>
      <c r="B351" t="s">
        <v>23</v>
      </c>
      <c r="C351">
        <v>149</v>
      </c>
      <c r="D351">
        <v>745000</v>
      </c>
      <c r="E351">
        <v>625800</v>
      </c>
      <c r="F351">
        <v>119200</v>
      </c>
      <c r="G351" s="1">
        <v>46096</v>
      </c>
    </row>
    <row r="352" spans="1:7" x14ac:dyDescent="0.2">
      <c r="A352" t="s">
        <v>13</v>
      </c>
      <c r="B352" t="s">
        <v>8</v>
      </c>
      <c r="C352">
        <v>1132</v>
      </c>
      <c r="D352">
        <v>3396000</v>
      </c>
      <c r="E352">
        <v>2037600</v>
      </c>
      <c r="F352">
        <v>1358400</v>
      </c>
      <c r="G352" s="1">
        <v>46595</v>
      </c>
    </row>
    <row r="353" spans="1:7" x14ac:dyDescent="0.2">
      <c r="A353" t="s">
        <v>18</v>
      </c>
      <c r="B353" t="s">
        <v>12</v>
      </c>
      <c r="C353">
        <v>2605</v>
      </c>
      <c r="D353">
        <v>3126000</v>
      </c>
      <c r="E353">
        <v>2214250</v>
      </c>
      <c r="F353">
        <v>911750</v>
      </c>
      <c r="G353" s="1">
        <v>46687</v>
      </c>
    </row>
    <row r="354" spans="1:7" x14ac:dyDescent="0.2">
      <c r="A354" t="s">
        <v>20</v>
      </c>
      <c r="B354" t="s">
        <v>8</v>
      </c>
      <c r="C354">
        <v>2355</v>
      </c>
      <c r="D354">
        <v>7065000</v>
      </c>
      <c r="E354">
        <v>4239000</v>
      </c>
      <c r="F354">
        <v>2826000</v>
      </c>
      <c r="G354" s="1">
        <v>46091</v>
      </c>
    </row>
    <row r="355" spans="1:7" x14ac:dyDescent="0.2">
      <c r="A355" t="s">
        <v>9</v>
      </c>
      <c r="B355" t="s">
        <v>17</v>
      </c>
      <c r="C355">
        <v>462</v>
      </c>
      <c r="D355">
        <v>6930000</v>
      </c>
      <c r="E355">
        <v>5082000</v>
      </c>
      <c r="F355">
        <v>1848000</v>
      </c>
      <c r="G355" s="1">
        <v>46070</v>
      </c>
    </row>
    <row r="356" spans="1:7" x14ac:dyDescent="0.2">
      <c r="A356" t="s">
        <v>16</v>
      </c>
      <c r="B356" t="s">
        <v>19</v>
      </c>
      <c r="C356">
        <v>1138</v>
      </c>
      <c r="D356">
        <v>51210000</v>
      </c>
      <c r="E356">
        <v>43244000</v>
      </c>
      <c r="F356">
        <v>7966000</v>
      </c>
      <c r="G356" s="1">
        <v>46233</v>
      </c>
    </row>
    <row r="357" spans="1:7" x14ac:dyDescent="0.2">
      <c r="A357" t="s">
        <v>7</v>
      </c>
      <c r="B357" t="s">
        <v>17</v>
      </c>
      <c r="C357">
        <v>2692</v>
      </c>
      <c r="D357">
        <v>40380000</v>
      </c>
      <c r="E357">
        <v>29612000</v>
      </c>
      <c r="F357">
        <v>10768000</v>
      </c>
      <c r="G357" s="1">
        <v>46673</v>
      </c>
    </row>
    <row r="358" spans="1:7" x14ac:dyDescent="0.2">
      <c r="A358" t="s">
        <v>22</v>
      </c>
      <c r="B358" t="s">
        <v>19</v>
      </c>
      <c r="C358">
        <v>1227</v>
      </c>
      <c r="D358">
        <v>55215000</v>
      </c>
      <c r="E358">
        <v>46626000</v>
      </c>
      <c r="F358">
        <v>8589000</v>
      </c>
      <c r="G358" s="1">
        <v>46644</v>
      </c>
    </row>
    <row r="359" spans="1:7" x14ac:dyDescent="0.2">
      <c r="A359" t="s">
        <v>13</v>
      </c>
      <c r="B359" t="s">
        <v>8</v>
      </c>
      <c r="C359">
        <v>2058</v>
      </c>
      <c r="D359">
        <v>6174000</v>
      </c>
      <c r="E359">
        <v>3704400</v>
      </c>
      <c r="F359">
        <v>2469600</v>
      </c>
      <c r="G359" s="1">
        <v>46717</v>
      </c>
    </row>
    <row r="360" spans="1:7" x14ac:dyDescent="0.2">
      <c r="A360" t="s">
        <v>18</v>
      </c>
      <c r="B360" t="s">
        <v>19</v>
      </c>
      <c r="C360">
        <v>2363</v>
      </c>
      <c r="D360">
        <v>106335000</v>
      </c>
      <c r="E360">
        <v>89794000</v>
      </c>
      <c r="F360">
        <v>16541000</v>
      </c>
      <c r="G360" s="1">
        <v>46562</v>
      </c>
    </row>
    <row r="361" spans="1:7" x14ac:dyDescent="0.2">
      <c r="A361" t="s">
        <v>15</v>
      </c>
      <c r="B361" t="s">
        <v>23</v>
      </c>
      <c r="C361">
        <v>870</v>
      </c>
      <c r="D361">
        <v>4350000</v>
      </c>
      <c r="E361">
        <v>3654000</v>
      </c>
      <c r="F361">
        <v>696000</v>
      </c>
      <c r="G361" s="1">
        <v>46672</v>
      </c>
    </row>
    <row r="362" spans="1:7" x14ac:dyDescent="0.2">
      <c r="A362" t="s">
        <v>20</v>
      </c>
      <c r="B362" t="s">
        <v>10</v>
      </c>
      <c r="C362">
        <v>711</v>
      </c>
      <c r="D362">
        <v>2488500</v>
      </c>
      <c r="E362">
        <v>1848600</v>
      </c>
      <c r="F362">
        <v>639900</v>
      </c>
      <c r="G362" s="1">
        <v>46302</v>
      </c>
    </row>
    <row r="363" spans="1:7" x14ac:dyDescent="0.2">
      <c r="A363" t="s">
        <v>16</v>
      </c>
      <c r="B363" t="s">
        <v>17</v>
      </c>
      <c r="C363">
        <v>609</v>
      </c>
      <c r="D363">
        <v>9135000</v>
      </c>
      <c r="E363">
        <v>6699000</v>
      </c>
      <c r="F363">
        <v>2436000</v>
      </c>
      <c r="G363" s="1">
        <v>46337</v>
      </c>
    </row>
    <row r="364" spans="1:7" x14ac:dyDescent="0.2">
      <c r="A364" t="s">
        <v>16</v>
      </c>
      <c r="B364" t="s">
        <v>12</v>
      </c>
      <c r="C364">
        <v>2988</v>
      </c>
      <c r="D364">
        <v>3585600</v>
      </c>
      <c r="E364">
        <v>2539800</v>
      </c>
      <c r="F364">
        <v>1045800</v>
      </c>
      <c r="G364" s="1">
        <v>46585</v>
      </c>
    </row>
    <row r="365" spans="1:7" x14ac:dyDescent="0.2">
      <c r="A365" t="s">
        <v>22</v>
      </c>
      <c r="B365" t="s">
        <v>17</v>
      </c>
      <c r="C365">
        <v>1321</v>
      </c>
      <c r="D365">
        <v>19815000</v>
      </c>
      <c r="E365">
        <v>14531000</v>
      </c>
      <c r="F365">
        <v>5284000</v>
      </c>
      <c r="G365" s="1">
        <v>46683</v>
      </c>
    </row>
    <row r="366" spans="1:7" x14ac:dyDescent="0.2">
      <c r="A366" t="s">
        <v>7</v>
      </c>
      <c r="B366" t="s">
        <v>23</v>
      </c>
      <c r="C366">
        <v>1863</v>
      </c>
      <c r="D366">
        <v>9315000</v>
      </c>
      <c r="E366">
        <v>7824600</v>
      </c>
      <c r="F366">
        <v>1490400</v>
      </c>
      <c r="G366" s="1">
        <v>46584</v>
      </c>
    </row>
    <row r="367" spans="1:7" x14ac:dyDescent="0.2">
      <c r="A367" t="s">
        <v>11</v>
      </c>
      <c r="B367" t="s">
        <v>19</v>
      </c>
      <c r="C367">
        <v>2965</v>
      </c>
      <c r="D367">
        <v>133425000</v>
      </c>
      <c r="E367">
        <v>112670000</v>
      </c>
      <c r="F367">
        <v>20755000</v>
      </c>
      <c r="G367" s="1">
        <v>46135</v>
      </c>
    </row>
    <row r="368" spans="1:7" x14ac:dyDescent="0.2">
      <c r="A368" t="s">
        <v>15</v>
      </c>
      <c r="B368" t="s">
        <v>23</v>
      </c>
      <c r="C368">
        <v>659</v>
      </c>
      <c r="D368">
        <v>3295000</v>
      </c>
      <c r="E368">
        <v>2767800</v>
      </c>
      <c r="F368">
        <v>527200</v>
      </c>
      <c r="G368" s="1">
        <v>46192</v>
      </c>
    </row>
    <row r="369" spans="1:7" x14ac:dyDescent="0.2">
      <c r="A369" t="s">
        <v>22</v>
      </c>
      <c r="B369" t="s">
        <v>14</v>
      </c>
      <c r="C369">
        <v>2511</v>
      </c>
      <c r="D369">
        <v>3013200</v>
      </c>
      <c r="E369">
        <v>2008800</v>
      </c>
      <c r="F369">
        <v>1004400</v>
      </c>
      <c r="G369" s="1">
        <v>46490</v>
      </c>
    </row>
    <row r="370" spans="1:7" x14ac:dyDescent="0.2">
      <c r="A370" t="s">
        <v>18</v>
      </c>
      <c r="B370" t="s">
        <v>14</v>
      </c>
      <c r="C370">
        <v>74</v>
      </c>
      <c r="D370">
        <v>88800</v>
      </c>
      <c r="E370">
        <v>59200</v>
      </c>
      <c r="F370">
        <v>29600</v>
      </c>
      <c r="G370" s="1">
        <v>46641</v>
      </c>
    </row>
    <row r="371" spans="1:7" x14ac:dyDescent="0.2">
      <c r="A371" t="s">
        <v>9</v>
      </c>
      <c r="B371" t="s">
        <v>12</v>
      </c>
      <c r="C371">
        <v>2078</v>
      </c>
      <c r="D371">
        <v>2493600</v>
      </c>
      <c r="E371">
        <v>1766300</v>
      </c>
      <c r="F371">
        <v>727300</v>
      </c>
      <c r="G371" s="1">
        <v>46036</v>
      </c>
    </row>
    <row r="372" spans="1:7" x14ac:dyDescent="0.2">
      <c r="A372" t="s">
        <v>21</v>
      </c>
      <c r="B372" t="s">
        <v>23</v>
      </c>
      <c r="C372">
        <v>333</v>
      </c>
      <c r="D372">
        <v>1665000</v>
      </c>
      <c r="E372">
        <v>1398600</v>
      </c>
      <c r="F372">
        <v>266400</v>
      </c>
      <c r="G372" s="1">
        <v>46737</v>
      </c>
    </row>
    <row r="373" spans="1:7" x14ac:dyDescent="0.2">
      <c r="A373" t="s">
        <v>11</v>
      </c>
      <c r="B373" t="s">
        <v>8</v>
      </c>
      <c r="C373">
        <v>1522</v>
      </c>
      <c r="D373">
        <v>4566000</v>
      </c>
      <c r="E373">
        <v>2739600</v>
      </c>
      <c r="F373">
        <v>1826400</v>
      </c>
      <c r="G373" s="1">
        <v>46310</v>
      </c>
    </row>
    <row r="374" spans="1:7" x14ac:dyDescent="0.2">
      <c r="A374" t="s">
        <v>7</v>
      </c>
      <c r="B374" t="s">
        <v>12</v>
      </c>
      <c r="C374">
        <v>2978</v>
      </c>
      <c r="D374">
        <v>3573600</v>
      </c>
      <c r="E374">
        <v>2531300</v>
      </c>
      <c r="F374">
        <v>1042300</v>
      </c>
      <c r="G374" s="1">
        <v>46241</v>
      </c>
    </row>
    <row r="375" spans="1:7" x14ac:dyDescent="0.2">
      <c r="A375" t="s">
        <v>20</v>
      </c>
      <c r="B375" t="s">
        <v>8</v>
      </c>
      <c r="C375">
        <v>350</v>
      </c>
      <c r="D375">
        <v>1050000</v>
      </c>
      <c r="E375">
        <v>630000</v>
      </c>
      <c r="F375">
        <v>420000</v>
      </c>
      <c r="G375" s="1">
        <v>46118</v>
      </c>
    </row>
    <row r="376" spans="1:7" x14ac:dyDescent="0.2">
      <c r="A376" t="s">
        <v>11</v>
      </c>
      <c r="B376" t="s">
        <v>12</v>
      </c>
      <c r="C376">
        <v>1141</v>
      </c>
      <c r="D376">
        <v>1369200</v>
      </c>
      <c r="E376">
        <v>969850</v>
      </c>
      <c r="F376">
        <v>399350</v>
      </c>
      <c r="G376" s="1">
        <v>46589</v>
      </c>
    </row>
    <row r="377" spans="1:7" x14ac:dyDescent="0.2">
      <c r="A377" t="s">
        <v>13</v>
      </c>
      <c r="B377" t="s">
        <v>14</v>
      </c>
      <c r="C377">
        <v>1080</v>
      </c>
      <c r="D377">
        <v>1296000</v>
      </c>
      <c r="E377">
        <v>864000</v>
      </c>
      <c r="F377">
        <v>432000</v>
      </c>
      <c r="G377" s="1">
        <v>46716</v>
      </c>
    </row>
    <row r="378" spans="1:7" x14ac:dyDescent="0.2">
      <c r="A378" t="s">
        <v>7</v>
      </c>
      <c r="B378" t="s">
        <v>12</v>
      </c>
      <c r="C378">
        <v>866</v>
      </c>
      <c r="D378">
        <v>1039200</v>
      </c>
      <c r="E378">
        <v>736100</v>
      </c>
      <c r="F378">
        <v>303100</v>
      </c>
      <c r="G378" s="1">
        <v>46744</v>
      </c>
    </row>
    <row r="379" spans="1:7" x14ac:dyDescent="0.2">
      <c r="A379" t="s">
        <v>9</v>
      </c>
      <c r="B379" t="s">
        <v>14</v>
      </c>
      <c r="C379">
        <v>132</v>
      </c>
      <c r="D379">
        <v>158400</v>
      </c>
      <c r="E379">
        <v>105600</v>
      </c>
      <c r="F379">
        <v>52800</v>
      </c>
      <c r="G379" s="1">
        <v>46493</v>
      </c>
    </row>
    <row r="380" spans="1:7" x14ac:dyDescent="0.2">
      <c r="A380" t="s">
        <v>13</v>
      </c>
      <c r="B380" t="s">
        <v>19</v>
      </c>
      <c r="C380">
        <v>1970</v>
      </c>
      <c r="D380">
        <v>88650000</v>
      </c>
      <c r="E380">
        <v>74860000</v>
      </c>
      <c r="F380">
        <v>13790000</v>
      </c>
      <c r="G380" s="1">
        <v>46097</v>
      </c>
    </row>
    <row r="381" spans="1:7" x14ac:dyDescent="0.2">
      <c r="A381" t="s">
        <v>11</v>
      </c>
      <c r="B381" t="s">
        <v>8</v>
      </c>
      <c r="C381">
        <v>2143</v>
      </c>
      <c r="D381">
        <v>6429000</v>
      </c>
      <c r="E381">
        <v>3857400</v>
      </c>
      <c r="F381">
        <v>2571600</v>
      </c>
      <c r="G381" s="1">
        <v>46122</v>
      </c>
    </row>
    <row r="382" spans="1:7" x14ac:dyDescent="0.2">
      <c r="A382" t="s">
        <v>21</v>
      </c>
      <c r="B382" t="s">
        <v>23</v>
      </c>
      <c r="C382">
        <v>667</v>
      </c>
      <c r="D382">
        <v>3335000</v>
      </c>
      <c r="E382">
        <v>2801400</v>
      </c>
      <c r="F382">
        <v>533600</v>
      </c>
      <c r="G382" s="1">
        <v>46578</v>
      </c>
    </row>
    <row r="383" spans="1:7" x14ac:dyDescent="0.2">
      <c r="A383" t="s">
        <v>21</v>
      </c>
      <c r="B383" t="s">
        <v>12</v>
      </c>
      <c r="C383">
        <v>2359</v>
      </c>
      <c r="D383">
        <v>2830800</v>
      </c>
      <c r="E383">
        <v>2005150</v>
      </c>
      <c r="F383">
        <v>825650</v>
      </c>
      <c r="G383" s="1">
        <v>46277</v>
      </c>
    </row>
    <row r="384" spans="1:7" x14ac:dyDescent="0.2">
      <c r="A384" t="s">
        <v>9</v>
      </c>
      <c r="B384" t="s">
        <v>14</v>
      </c>
      <c r="C384">
        <v>225</v>
      </c>
      <c r="D384">
        <v>270000</v>
      </c>
      <c r="E384">
        <v>180000</v>
      </c>
      <c r="F384">
        <v>90000</v>
      </c>
      <c r="G384" s="1">
        <v>46390</v>
      </c>
    </row>
    <row r="385" spans="1:7" x14ac:dyDescent="0.2">
      <c r="A385" t="s">
        <v>16</v>
      </c>
      <c r="B385" t="s">
        <v>17</v>
      </c>
      <c r="C385">
        <v>1239</v>
      </c>
      <c r="D385">
        <v>18585000</v>
      </c>
      <c r="E385">
        <v>13629000</v>
      </c>
      <c r="F385">
        <v>4956000</v>
      </c>
      <c r="G385" s="1">
        <v>46593</v>
      </c>
    </row>
    <row r="386" spans="1:7" x14ac:dyDescent="0.2">
      <c r="A386" t="s">
        <v>15</v>
      </c>
      <c r="B386" t="s">
        <v>8</v>
      </c>
      <c r="C386">
        <v>2754</v>
      </c>
      <c r="D386">
        <v>8262000</v>
      </c>
      <c r="E386">
        <v>4957200</v>
      </c>
      <c r="F386">
        <v>3304800</v>
      </c>
      <c r="G386" s="1">
        <v>46533</v>
      </c>
    </row>
    <row r="387" spans="1:7" x14ac:dyDescent="0.2">
      <c r="A387" t="s">
        <v>20</v>
      </c>
      <c r="B387" t="s">
        <v>12</v>
      </c>
      <c r="C387">
        <v>891</v>
      </c>
      <c r="D387">
        <v>1069200</v>
      </c>
      <c r="E387">
        <v>757350</v>
      </c>
      <c r="F387">
        <v>311850</v>
      </c>
      <c r="G387" s="1">
        <v>46029</v>
      </c>
    </row>
    <row r="388" spans="1:7" x14ac:dyDescent="0.2">
      <c r="A388" t="s">
        <v>16</v>
      </c>
      <c r="B388" t="s">
        <v>10</v>
      </c>
      <c r="C388">
        <v>419</v>
      </c>
      <c r="D388">
        <v>1466500</v>
      </c>
      <c r="E388">
        <v>1089400</v>
      </c>
      <c r="F388">
        <v>377100</v>
      </c>
      <c r="G388" s="1">
        <v>46450</v>
      </c>
    </row>
    <row r="389" spans="1:7" x14ac:dyDescent="0.2">
      <c r="A389" t="s">
        <v>21</v>
      </c>
      <c r="B389" t="s">
        <v>19</v>
      </c>
      <c r="C389">
        <v>1868</v>
      </c>
      <c r="D389">
        <v>84060000</v>
      </c>
      <c r="E389">
        <v>70984000</v>
      </c>
      <c r="F389">
        <v>13076000</v>
      </c>
      <c r="G389" s="1">
        <v>46145</v>
      </c>
    </row>
    <row r="390" spans="1:7" x14ac:dyDescent="0.2">
      <c r="A390" t="s">
        <v>21</v>
      </c>
      <c r="B390" t="s">
        <v>19</v>
      </c>
      <c r="C390">
        <v>2151</v>
      </c>
      <c r="D390">
        <v>96795000</v>
      </c>
      <c r="E390">
        <v>81738000</v>
      </c>
      <c r="F390">
        <v>15057000</v>
      </c>
      <c r="G390" s="1">
        <v>46282</v>
      </c>
    </row>
    <row r="391" spans="1:7" x14ac:dyDescent="0.2">
      <c r="A391" t="s">
        <v>18</v>
      </c>
      <c r="B391" t="s">
        <v>17</v>
      </c>
      <c r="C391">
        <v>739</v>
      </c>
      <c r="D391">
        <v>11085000</v>
      </c>
      <c r="E391">
        <v>8129000</v>
      </c>
      <c r="F391">
        <v>2956000</v>
      </c>
      <c r="G391" s="1">
        <v>46363</v>
      </c>
    </row>
    <row r="392" spans="1:7" x14ac:dyDescent="0.2">
      <c r="A392" t="s">
        <v>13</v>
      </c>
      <c r="B392" t="s">
        <v>14</v>
      </c>
      <c r="C392">
        <v>1829</v>
      </c>
      <c r="D392">
        <v>2194800</v>
      </c>
      <c r="E392">
        <v>1463200</v>
      </c>
      <c r="F392">
        <v>731600</v>
      </c>
      <c r="G392" s="1">
        <v>46677</v>
      </c>
    </row>
    <row r="393" spans="1:7" x14ac:dyDescent="0.2">
      <c r="A393" t="s">
        <v>11</v>
      </c>
      <c r="B393" t="s">
        <v>12</v>
      </c>
      <c r="C393">
        <v>1414</v>
      </c>
      <c r="D393">
        <v>1696800</v>
      </c>
      <c r="E393">
        <v>1201900</v>
      </c>
      <c r="F393">
        <v>494900</v>
      </c>
      <c r="G393" s="1">
        <v>46608</v>
      </c>
    </row>
    <row r="394" spans="1:7" x14ac:dyDescent="0.2">
      <c r="A394" t="s">
        <v>20</v>
      </c>
      <c r="B394" t="s">
        <v>8</v>
      </c>
      <c r="C394">
        <v>1482</v>
      </c>
      <c r="D394">
        <v>4446000</v>
      </c>
      <c r="E394">
        <v>2667600</v>
      </c>
      <c r="F394">
        <v>1778400</v>
      </c>
      <c r="G394" s="1">
        <v>46662</v>
      </c>
    </row>
    <row r="395" spans="1:7" x14ac:dyDescent="0.2">
      <c r="A395" t="s">
        <v>9</v>
      </c>
      <c r="B395" t="s">
        <v>14</v>
      </c>
      <c r="C395">
        <v>416</v>
      </c>
      <c r="D395">
        <v>499200</v>
      </c>
      <c r="E395">
        <v>332800</v>
      </c>
      <c r="F395">
        <v>166400</v>
      </c>
      <c r="G395" s="1">
        <v>46748</v>
      </c>
    </row>
    <row r="396" spans="1:7" x14ac:dyDescent="0.2">
      <c r="A396" t="s">
        <v>11</v>
      </c>
      <c r="B396" t="s">
        <v>19</v>
      </c>
      <c r="C396">
        <v>693</v>
      </c>
      <c r="D396">
        <v>31185000</v>
      </c>
      <c r="E396">
        <v>26334000</v>
      </c>
      <c r="F396">
        <v>4851000</v>
      </c>
      <c r="G396" s="1">
        <v>46743</v>
      </c>
    </row>
    <row r="397" spans="1:7" x14ac:dyDescent="0.2">
      <c r="A397" t="s">
        <v>18</v>
      </c>
      <c r="B397" t="s">
        <v>14</v>
      </c>
      <c r="C397">
        <v>2476</v>
      </c>
      <c r="D397">
        <v>2971200</v>
      </c>
      <c r="E397">
        <v>1980800</v>
      </c>
      <c r="F397">
        <v>990400</v>
      </c>
      <c r="G397" s="1">
        <v>46085</v>
      </c>
    </row>
    <row r="398" spans="1:7" x14ac:dyDescent="0.2">
      <c r="A398" t="s">
        <v>21</v>
      </c>
      <c r="B398" t="s">
        <v>19</v>
      </c>
      <c r="C398">
        <v>122</v>
      </c>
      <c r="D398">
        <v>5490000</v>
      </c>
      <c r="E398">
        <v>4636000</v>
      </c>
      <c r="F398">
        <v>854000</v>
      </c>
      <c r="G398" s="1">
        <v>46541</v>
      </c>
    </row>
    <row r="399" spans="1:7" x14ac:dyDescent="0.2">
      <c r="A399" t="s">
        <v>9</v>
      </c>
      <c r="B399" t="s">
        <v>14</v>
      </c>
      <c r="C399">
        <v>1321</v>
      </c>
      <c r="D399">
        <v>1585200</v>
      </c>
      <c r="E399">
        <v>1056800</v>
      </c>
      <c r="F399">
        <v>528400</v>
      </c>
      <c r="G399" s="1">
        <v>46676</v>
      </c>
    </row>
    <row r="400" spans="1:7" x14ac:dyDescent="0.2">
      <c r="A400" t="s">
        <v>21</v>
      </c>
      <c r="B400" t="s">
        <v>17</v>
      </c>
      <c r="C400">
        <v>909</v>
      </c>
      <c r="D400">
        <v>13635000</v>
      </c>
      <c r="E400">
        <v>9999000</v>
      </c>
      <c r="F400">
        <v>3636000</v>
      </c>
      <c r="G400" s="1">
        <v>46663</v>
      </c>
    </row>
    <row r="401" spans="1:7" x14ac:dyDescent="0.2">
      <c r="A401" t="s">
        <v>20</v>
      </c>
      <c r="B401" t="s">
        <v>23</v>
      </c>
      <c r="C401">
        <v>92</v>
      </c>
      <c r="D401">
        <v>460000</v>
      </c>
      <c r="E401">
        <v>386400</v>
      </c>
      <c r="F401">
        <v>73600</v>
      </c>
      <c r="G401" s="1">
        <v>46601</v>
      </c>
    </row>
    <row r="402" spans="1:7" x14ac:dyDescent="0.2">
      <c r="A402" t="s">
        <v>13</v>
      </c>
      <c r="B402" t="s">
        <v>17</v>
      </c>
      <c r="C402">
        <v>2474</v>
      </c>
      <c r="D402">
        <v>37110000</v>
      </c>
      <c r="E402">
        <v>27214000</v>
      </c>
      <c r="F402">
        <v>9896000</v>
      </c>
      <c r="G402" s="1">
        <v>46663</v>
      </c>
    </row>
    <row r="403" spans="1:7" x14ac:dyDescent="0.2">
      <c r="A403" t="s">
        <v>11</v>
      </c>
      <c r="B403" t="s">
        <v>17</v>
      </c>
      <c r="C403">
        <v>1114</v>
      </c>
      <c r="D403">
        <v>16710000</v>
      </c>
      <c r="E403">
        <v>12254000</v>
      </c>
      <c r="F403">
        <v>4456000</v>
      </c>
      <c r="G403" s="1">
        <v>46134</v>
      </c>
    </row>
    <row r="404" spans="1:7" x14ac:dyDescent="0.2">
      <c r="A404" t="s">
        <v>11</v>
      </c>
      <c r="B404" t="s">
        <v>23</v>
      </c>
      <c r="C404">
        <v>2267</v>
      </c>
      <c r="D404">
        <v>11335000</v>
      </c>
      <c r="E404">
        <v>9521400</v>
      </c>
      <c r="F404">
        <v>1813600</v>
      </c>
      <c r="G404" s="1">
        <v>46661</v>
      </c>
    </row>
    <row r="405" spans="1:7" x14ac:dyDescent="0.2">
      <c r="A405" t="s">
        <v>16</v>
      </c>
      <c r="B405" t="s">
        <v>23</v>
      </c>
      <c r="C405">
        <v>2309</v>
      </c>
      <c r="D405">
        <v>11545000</v>
      </c>
      <c r="E405">
        <v>9697800</v>
      </c>
      <c r="F405">
        <v>1847200</v>
      </c>
      <c r="G405" s="1">
        <v>46081</v>
      </c>
    </row>
    <row r="406" spans="1:7" x14ac:dyDescent="0.2">
      <c r="A406" t="s">
        <v>9</v>
      </c>
      <c r="B406" t="s">
        <v>12</v>
      </c>
      <c r="C406">
        <v>1566</v>
      </c>
      <c r="D406">
        <v>1879200</v>
      </c>
      <c r="E406">
        <v>1331100</v>
      </c>
      <c r="F406">
        <v>548100</v>
      </c>
      <c r="G406" s="1">
        <v>46358</v>
      </c>
    </row>
    <row r="407" spans="1:7" x14ac:dyDescent="0.2">
      <c r="A407" t="s">
        <v>15</v>
      </c>
      <c r="B407" t="s">
        <v>8</v>
      </c>
      <c r="C407">
        <v>2136</v>
      </c>
      <c r="D407">
        <v>6408000</v>
      </c>
      <c r="E407">
        <v>3844800</v>
      </c>
      <c r="F407">
        <v>2563200</v>
      </c>
      <c r="G407" s="1">
        <v>46229</v>
      </c>
    </row>
    <row r="408" spans="1:7" x14ac:dyDescent="0.2">
      <c r="A408" t="s">
        <v>18</v>
      </c>
      <c r="B408" t="s">
        <v>8</v>
      </c>
      <c r="C408">
        <v>418</v>
      </c>
      <c r="D408">
        <v>1254000</v>
      </c>
      <c r="E408">
        <v>752400</v>
      </c>
      <c r="F408">
        <v>501600</v>
      </c>
      <c r="G408" s="1">
        <v>46318</v>
      </c>
    </row>
    <row r="409" spans="1:7" x14ac:dyDescent="0.2">
      <c r="A409" t="s">
        <v>15</v>
      </c>
      <c r="B409" t="s">
        <v>12</v>
      </c>
      <c r="C409">
        <v>2854</v>
      </c>
      <c r="D409">
        <v>3424800</v>
      </c>
      <c r="E409">
        <v>2425900</v>
      </c>
      <c r="F409">
        <v>998900</v>
      </c>
      <c r="G409" s="1">
        <v>46140</v>
      </c>
    </row>
    <row r="410" spans="1:7" x14ac:dyDescent="0.2">
      <c r="A410" t="s">
        <v>16</v>
      </c>
      <c r="B410" t="s">
        <v>17</v>
      </c>
      <c r="C410">
        <v>200</v>
      </c>
      <c r="D410">
        <v>3000000</v>
      </c>
      <c r="E410">
        <v>2200000</v>
      </c>
      <c r="F410">
        <v>800000</v>
      </c>
      <c r="G410" s="1">
        <v>46554</v>
      </c>
    </row>
    <row r="411" spans="1:7" x14ac:dyDescent="0.2">
      <c r="A411" t="s">
        <v>20</v>
      </c>
      <c r="B411" t="s">
        <v>17</v>
      </c>
      <c r="C411">
        <v>1184</v>
      </c>
      <c r="D411">
        <v>17760000</v>
      </c>
      <c r="E411">
        <v>13024000</v>
      </c>
      <c r="F411">
        <v>4736000</v>
      </c>
      <c r="G411" s="1">
        <v>46303</v>
      </c>
    </row>
    <row r="412" spans="1:7" x14ac:dyDescent="0.2">
      <c r="A412" t="s">
        <v>18</v>
      </c>
      <c r="B412" t="s">
        <v>19</v>
      </c>
      <c r="C412">
        <v>1553</v>
      </c>
      <c r="D412">
        <v>69885000</v>
      </c>
      <c r="E412">
        <v>59014000</v>
      </c>
      <c r="F412">
        <v>10871000</v>
      </c>
      <c r="G412" s="1">
        <v>46188</v>
      </c>
    </row>
    <row r="413" spans="1:7" x14ac:dyDescent="0.2">
      <c r="A413" t="s">
        <v>13</v>
      </c>
      <c r="B413" t="s">
        <v>19</v>
      </c>
      <c r="C413">
        <v>1509</v>
      </c>
      <c r="D413">
        <v>67905000</v>
      </c>
      <c r="E413">
        <v>57342000</v>
      </c>
      <c r="F413">
        <v>10563000</v>
      </c>
      <c r="G413" s="1">
        <v>46517</v>
      </c>
    </row>
    <row r="414" spans="1:7" x14ac:dyDescent="0.2">
      <c r="A414" t="s">
        <v>15</v>
      </c>
      <c r="B414" t="s">
        <v>8</v>
      </c>
      <c r="C414">
        <v>1120</v>
      </c>
      <c r="D414">
        <v>3360000</v>
      </c>
      <c r="E414">
        <v>2016000</v>
      </c>
      <c r="F414">
        <v>1344000</v>
      </c>
      <c r="G414" s="1">
        <v>46148</v>
      </c>
    </row>
    <row r="415" spans="1:7" x14ac:dyDescent="0.2">
      <c r="A415" t="s">
        <v>13</v>
      </c>
      <c r="B415" t="s">
        <v>12</v>
      </c>
      <c r="C415">
        <v>1073</v>
      </c>
      <c r="D415">
        <v>1287600</v>
      </c>
      <c r="E415">
        <v>912050</v>
      </c>
      <c r="F415">
        <v>375550</v>
      </c>
      <c r="G415" s="1">
        <v>46088</v>
      </c>
    </row>
    <row r="416" spans="1:7" x14ac:dyDescent="0.2">
      <c r="A416" t="s">
        <v>15</v>
      </c>
      <c r="B416" t="s">
        <v>10</v>
      </c>
      <c r="C416">
        <v>1648</v>
      </c>
      <c r="D416">
        <v>5768000</v>
      </c>
      <c r="E416">
        <v>4284800</v>
      </c>
      <c r="F416">
        <v>1483200</v>
      </c>
      <c r="G416" s="1">
        <v>46112</v>
      </c>
    </row>
    <row r="417" spans="1:7" x14ac:dyDescent="0.2">
      <c r="A417" t="s">
        <v>13</v>
      </c>
      <c r="B417" t="s">
        <v>10</v>
      </c>
      <c r="C417">
        <v>2834</v>
      </c>
      <c r="D417">
        <v>9919000</v>
      </c>
      <c r="E417">
        <v>7368400</v>
      </c>
      <c r="F417">
        <v>2550600</v>
      </c>
      <c r="G417" s="1">
        <v>46116</v>
      </c>
    </row>
    <row r="418" spans="1:7" x14ac:dyDescent="0.2">
      <c r="A418" t="s">
        <v>15</v>
      </c>
      <c r="B418" t="s">
        <v>12</v>
      </c>
      <c r="C418">
        <v>2090</v>
      </c>
      <c r="D418">
        <v>2508000</v>
      </c>
      <c r="E418">
        <v>1776500</v>
      </c>
      <c r="F418">
        <v>731500</v>
      </c>
      <c r="G418" s="1">
        <v>46035</v>
      </c>
    </row>
    <row r="419" spans="1:7" x14ac:dyDescent="0.2">
      <c r="A419" t="s">
        <v>13</v>
      </c>
      <c r="B419" t="s">
        <v>19</v>
      </c>
      <c r="C419">
        <v>1439</v>
      </c>
      <c r="D419">
        <v>64755000</v>
      </c>
      <c r="E419">
        <v>54682000</v>
      </c>
      <c r="F419">
        <v>10073000</v>
      </c>
      <c r="G419" s="1">
        <v>46460</v>
      </c>
    </row>
    <row r="420" spans="1:7" x14ac:dyDescent="0.2">
      <c r="A420" t="s">
        <v>16</v>
      </c>
      <c r="B420" t="s">
        <v>8</v>
      </c>
      <c r="C420">
        <v>118</v>
      </c>
      <c r="D420">
        <v>354000</v>
      </c>
      <c r="E420">
        <v>212400</v>
      </c>
      <c r="F420">
        <v>141600</v>
      </c>
      <c r="G420" s="1">
        <v>46560</v>
      </c>
    </row>
    <row r="421" spans="1:7" x14ac:dyDescent="0.2">
      <c r="A421" t="s">
        <v>7</v>
      </c>
      <c r="B421" t="s">
        <v>8</v>
      </c>
      <c r="C421">
        <v>2396</v>
      </c>
      <c r="D421">
        <v>7188000</v>
      </c>
      <c r="E421">
        <v>4312800</v>
      </c>
      <c r="F421">
        <v>2875200</v>
      </c>
      <c r="G421" s="1">
        <v>46668</v>
      </c>
    </row>
    <row r="422" spans="1:7" x14ac:dyDescent="0.2">
      <c r="A422" t="s">
        <v>18</v>
      </c>
      <c r="B422" t="s">
        <v>19</v>
      </c>
      <c r="C422">
        <v>993</v>
      </c>
      <c r="D422">
        <v>44685000</v>
      </c>
      <c r="E422">
        <v>37734000</v>
      </c>
      <c r="F422">
        <v>6951000</v>
      </c>
      <c r="G422" s="1">
        <v>46172</v>
      </c>
    </row>
    <row r="423" spans="1:7" x14ac:dyDescent="0.2">
      <c r="A423" t="s">
        <v>9</v>
      </c>
      <c r="B423" t="s">
        <v>10</v>
      </c>
      <c r="C423">
        <v>851</v>
      </c>
      <c r="D423">
        <v>2978500</v>
      </c>
      <c r="E423">
        <v>2212600</v>
      </c>
      <c r="F423">
        <v>765900</v>
      </c>
      <c r="G423" s="1">
        <v>46682</v>
      </c>
    </row>
    <row r="424" spans="1:7" x14ac:dyDescent="0.2">
      <c r="A424" t="s">
        <v>20</v>
      </c>
      <c r="B424" t="s">
        <v>14</v>
      </c>
      <c r="C424">
        <v>2393</v>
      </c>
      <c r="D424">
        <v>2871600</v>
      </c>
      <c r="E424">
        <v>1914400</v>
      </c>
      <c r="F424">
        <v>957200</v>
      </c>
      <c r="G424" s="1">
        <v>46235</v>
      </c>
    </row>
    <row r="425" spans="1:7" x14ac:dyDescent="0.2">
      <c r="A425" t="s">
        <v>22</v>
      </c>
      <c r="B425" t="s">
        <v>14</v>
      </c>
      <c r="C425">
        <v>2300</v>
      </c>
      <c r="D425">
        <v>2760000</v>
      </c>
      <c r="E425">
        <v>1840000</v>
      </c>
      <c r="F425">
        <v>920000</v>
      </c>
      <c r="G425" s="1">
        <v>46051</v>
      </c>
    </row>
    <row r="426" spans="1:7" x14ac:dyDescent="0.2">
      <c r="A426" t="s">
        <v>21</v>
      </c>
      <c r="B426" t="s">
        <v>19</v>
      </c>
      <c r="C426">
        <v>110</v>
      </c>
      <c r="D426">
        <v>4950000</v>
      </c>
      <c r="E426">
        <v>4180000</v>
      </c>
      <c r="F426">
        <v>770000</v>
      </c>
      <c r="G426" s="1">
        <v>46318</v>
      </c>
    </row>
    <row r="427" spans="1:7" x14ac:dyDescent="0.2">
      <c r="A427" t="s">
        <v>9</v>
      </c>
      <c r="B427" t="s">
        <v>14</v>
      </c>
      <c r="C427">
        <v>995</v>
      </c>
      <c r="D427">
        <v>1194000</v>
      </c>
      <c r="E427">
        <v>796000</v>
      </c>
      <c r="F427">
        <v>398000</v>
      </c>
      <c r="G427" s="1">
        <v>46743</v>
      </c>
    </row>
    <row r="428" spans="1:7" x14ac:dyDescent="0.2">
      <c r="A428" t="s">
        <v>21</v>
      </c>
      <c r="B428" t="s">
        <v>23</v>
      </c>
      <c r="C428">
        <v>1387</v>
      </c>
      <c r="D428">
        <v>6935000</v>
      </c>
      <c r="E428">
        <v>5825400</v>
      </c>
      <c r="F428">
        <v>1109600</v>
      </c>
      <c r="G428" s="1">
        <v>46428</v>
      </c>
    </row>
    <row r="429" spans="1:7" x14ac:dyDescent="0.2">
      <c r="A429" t="s">
        <v>18</v>
      </c>
      <c r="B429" t="s">
        <v>12</v>
      </c>
      <c r="C429">
        <v>1234</v>
      </c>
      <c r="D429">
        <v>1480800</v>
      </c>
      <c r="E429">
        <v>1048900</v>
      </c>
      <c r="F429">
        <v>431900</v>
      </c>
      <c r="G429" s="1">
        <v>46185</v>
      </c>
    </row>
    <row r="430" spans="1:7" x14ac:dyDescent="0.2">
      <c r="A430" t="s">
        <v>9</v>
      </c>
      <c r="B430" t="s">
        <v>12</v>
      </c>
      <c r="C430">
        <v>380</v>
      </c>
      <c r="D430">
        <v>456000</v>
      </c>
      <c r="E430">
        <v>323000</v>
      </c>
      <c r="F430">
        <v>133000</v>
      </c>
      <c r="G430" s="1">
        <v>46650</v>
      </c>
    </row>
    <row r="431" spans="1:7" x14ac:dyDescent="0.2">
      <c r="A431" t="s">
        <v>13</v>
      </c>
      <c r="B431" t="s">
        <v>19</v>
      </c>
      <c r="C431">
        <v>1601</v>
      </c>
      <c r="D431">
        <v>72045000</v>
      </c>
      <c r="E431">
        <v>60838000</v>
      </c>
      <c r="F431">
        <v>11207000</v>
      </c>
      <c r="G431" s="1">
        <v>46461</v>
      </c>
    </row>
    <row r="432" spans="1:7" x14ac:dyDescent="0.2">
      <c r="A432" t="s">
        <v>13</v>
      </c>
      <c r="B432" t="s">
        <v>17</v>
      </c>
      <c r="C432">
        <v>387</v>
      </c>
      <c r="D432">
        <v>5805000</v>
      </c>
      <c r="E432">
        <v>4257000</v>
      </c>
      <c r="F432">
        <v>1548000</v>
      </c>
      <c r="G432" s="1">
        <v>46166</v>
      </c>
    </row>
    <row r="433" spans="1:7" x14ac:dyDescent="0.2">
      <c r="A433" t="s">
        <v>22</v>
      </c>
      <c r="B433" t="s">
        <v>10</v>
      </c>
      <c r="C433">
        <v>1679</v>
      </c>
      <c r="D433">
        <v>5876500</v>
      </c>
      <c r="E433">
        <v>4365400</v>
      </c>
      <c r="F433">
        <v>1511100</v>
      </c>
      <c r="G433" s="1">
        <v>46452</v>
      </c>
    </row>
    <row r="434" spans="1:7" x14ac:dyDescent="0.2">
      <c r="A434" t="s">
        <v>21</v>
      </c>
      <c r="B434" t="s">
        <v>19</v>
      </c>
      <c r="C434">
        <v>1377</v>
      </c>
      <c r="D434">
        <v>61965000</v>
      </c>
      <c r="E434">
        <v>52326000</v>
      </c>
      <c r="F434">
        <v>9639000</v>
      </c>
      <c r="G434" s="1">
        <v>46067</v>
      </c>
    </row>
    <row r="435" spans="1:7" x14ac:dyDescent="0.2">
      <c r="A435" t="s">
        <v>20</v>
      </c>
      <c r="B435" t="s">
        <v>14</v>
      </c>
      <c r="C435">
        <v>1576</v>
      </c>
      <c r="D435">
        <v>1891200</v>
      </c>
      <c r="E435">
        <v>1260800</v>
      </c>
      <c r="F435">
        <v>630400</v>
      </c>
      <c r="G435" s="1">
        <v>46261</v>
      </c>
    </row>
    <row r="436" spans="1:7" x14ac:dyDescent="0.2">
      <c r="A436" t="s">
        <v>18</v>
      </c>
      <c r="B436" t="s">
        <v>10</v>
      </c>
      <c r="C436">
        <v>1723</v>
      </c>
      <c r="D436">
        <v>6030500</v>
      </c>
      <c r="E436">
        <v>4479800</v>
      </c>
      <c r="F436">
        <v>1550700</v>
      </c>
      <c r="G436" s="1">
        <v>46118</v>
      </c>
    </row>
    <row r="437" spans="1:7" x14ac:dyDescent="0.2">
      <c r="A437" t="s">
        <v>13</v>
      </c>
      <c r="B437" t="s">
        <v>17</v>
      </c>
      <c r="C437">
        <v>1411</v>
      </c>
      <c r="D437">
        <v>21165000</v>
      </c>
      <c r="E437">
        <v>15521000</v>
      </c>
      <c r="F437">
        <v>5644000</v>
      </c>
      <c r="G437" s="1">
        <v>46203</v>
      </c>
    </row>
    <row r="438" spans="1:7" x14ac:dyDescent="0.2">
      <c r="A438" t="s">
        <v>7</v>
      </c>
      <c r="B438" t="s">
        <v>14</v>
      </c>
      <c r="C438">
        <v>1623</v>
      </c>
      <c r="D438">
        <v>1947600</v>
      </c>
      <c r="E438">
        <v>1298400</v>
      </c>
      <c r="F438">
        <v>649200</v>
      </c>
      <c r="G438" s="1">
        <v>46089</v>
      </c>
    </row>
    <row r="439" spans="1:7" x14ac:dyDescent="0.2">
      <c r="A439" t="s">
        <v>16</v>
      </c>
      <c r="B439" t="s">
        <v>8</v>
      </c>
      <c r="C439">
        <v>2736</v>
      </c>
      <c r="D439">
        <v>8208000</v>
      </c>
      <c r="E439">
        <v>4924800</v>
      </c>
      <c r="F439">
        <v>3283200</v>
      </c>
      <c r="G439" s="1">
        <v>46110</v>
      </c>
    </row>
    <row r="440" spans="1:7" x14ac:dyDescent="0.2">
      <c r="A440" t="s">
        <v>16</v>
      </c>
      <c r="B440" t="s">
        <v>23</v>
      </c>
      <c r="C440">
        <v>324</v>
      </c>
      <c r="D440">
        <v>1620000</v>
      </c>
      <c r="E440">
        <v>1360800</v>
      </c>
      <c r="F440">
        <v>259200</v>
      </c>
      <c r="G440" s="1">
        <v>46278</v>
      </c>
    </row>
    <row r="441" spans="1:7" x14ac:dyDescent="0.2">
      <c r="A441" t="s">
        <v>15</v>
      </c>
      <c r="B441" t="s">
        <v>14</v>
      </c>
      <c r="C441">
        <v>1237</v>
      </c>
      <c r="D441">
        <v>1484400</v>
      </c>
      <c r="E441">
        <v>989600</v>
      </c>
      <c r="F441">
        <v>494800</v>
      </c>
      <c r="G441" s="1">
        <v>46533</v>
      </c>
    </row>
    <row r="442" spans="1:7" x14ac:dyDescent="0.2">
      <c r="A442" t="s">
        <v>20</v>
      </c>
      <c r="B442" t="s">
        <v>23</v>
      </c>
      <c r="C442">
        <v>2416</v>
      </c>
      <c r="D442">
        <v>12080000</v>
      </c>
      <c r="E442">
        <v>10147200</v>
      </c>
      <c r="F442">
        <v>1932800</v>
      </c>
      <c r="G442" s="1">
        <v>46095</v>
      </c>
    </row>
    <row r="443" spans="1:7" x14ac:dyDescent="0.2">
      <c r="A443" t="s">
        <v>16</v>
      </c>
      <c r="B443" t="s">
        <v>10</v>
      </c>
      <c r="C443">
        <v>2686</v>
      </c>
      <c r="D443">
        <v>9401000</v>
      </c>
      <c r="E443">
        <v>6983600</v>
      </c>
      <c r="F443">
        <v>2417400</v>
      </c>
      <c r="G443" s="1">
        <v>46201</v>
      </c>
    </row>
    <row r="444" spans="1:7" x14ac:dyDescent="0.2">
      <c r="A444" t="s">
        <v>15</v>
      </c>
      <c r="B444" t="s">
        <v>23</v>
      </c>
      <c r="C444">
        <v>2601</v>
      </c>
      <c r="D444">
        <v>13005000</v>
      </c>
      <c r="E444">
        <v>10924200</v>
      </c>
      <c r="F444">
        <v>2080800</v>
      </c>
      <c r="G444" s="1">
        <v>46234</v>
      </c>
    </row>
    <row r="445" spans="1:7" x14ac:dyDescent="0.2">
      <c r="A445" t="s">
        <v>21</v>
      </c>
      <c r="B445" t="s">
        <v>10</v>
      </c>
      <c r="C445">
        <v>2484</v>
      </c>
      <c r="D445">
        <v>8694000</v>
      </c>
      <c r="E445">
        <v>6458400</v>
      </c>
      <c r="F445">
        <v>2235600</v>
      </c>
      <c r="G445" s="1">
        <v>46256</v>
      </c>
    </row>
    <row r="446" spans="1:7" x14ac:dyDescent="0.2">
      <c r="A446" t="s">
        <v>13</v>
      </c>
      <c r="B446" t="s">
        <v>10</v>
      </c>
      <c r="C446">
        <v>2043</v>
      </c>
      <c r="D446">
        <v>7150500</v>
      </c>
      <c r="E446">
        <v>5311800</v>
      </c>
      <c r="F446">
        <v>1838700</v>
      </c>
      <c r="G446" s="1">
        <v>46664</v>
      </c>
    </row>
    <row r="447" spans="1:7" x14ac:dyDescent="0.2">
      <c r="A447" t="s">
        <v>13</v>
      </c>
      <c r="B447" t="s">
        <v>10</v>
      </c>
      <c r="C447">
        <v>919</v>
      </c>
      <c r="D447">
        <v>3216500</v>
      </c>
      <c r="E447">
        <v>2389400</v>
      </c>
      <c r="F447">
        <v>827100</v>
      </c>
      <c r="G447" s="1">
        <v>46334</v>
      </c>
    </row>
    <row r="448" spans="1:7" x14ac:dyDescent="0.2">
      <c r="A448" t="s">
        <v>7</v>
      </c>
      <c r="B448" t="s">
        <v>10</v>
      </c>
      <c r="C448">
        <v>2930</v>
      </c>
      <c r="D448">
        <v>10255000</v>
      </c>
      <c r="E448">
        <v>7618000</v>
      </c>
      <c r="F448">
        <v>2637000</v>
      </c>
      <c r="G448" s="1">
        <v>46653</v>
      </c>
    </row>
    <row r="449" spans="1:7" x14ac:dyDescent="0.2">
      <c r="A449" t="s">
        <v>9</v>
      </c>
      <c r="B449" t="s">
        <v>10</v>
      </c>
      <c r="C449">
        <v>1064</v>
      </c>
      <c r="D449">
        <v>3724000</v>
      </c>
      <c r="E449">
        <v>2766400</v>
      </c>
      <c r="F449">
        <v>957600</v>
      </c>
      <c r="G449" s="1">
        <v>46286</v>
      </c>
    </row>
    <row r="450" spans="1:7" x14ac:dyDescent="0.2">
      <c r="A450" t="s">
        <v>16</v>
      </c>
      <c r="B450" t="s">
        <v>14</v>
      </c>
      <c r="C450">
        <v>1961</v>
      </c>
      <c r="D450">
        <v>2353200</v>
      </c>
      <c r="E450">
        <v>1568800</v>
      </c>
      <c r="F450">
        <v>784400</v>
      </c>
      <c r="G450" s="1">
        <v>46229</v>
      </c>
    </row>
    <row r="451" spans="1:7" x14ac:dyDescent="0.2">
      <c r="A451" t="s">
        <v>21</v>
      </c>
      <c r="B451" t="s">
        <v>10</v>
      </c>
      <c r="C451">
        <v>652</v>
      </c>
      <c r="D451">
        <v>2282000</v>
      </c>
      <c r="E451">
        <v>1695200</v>
      </c>
      <c r="F451">
        <v>586800</v>
      </c>
      <c r="G451" s="1">
        <v>46629</v>
      </c>
    </row>
    <row r="452" spans="1:7" x14ac:dyDescent="0.2">
      <c r="A452" t="s">
        <v>11</v>
      </c>
      <c r="B452" t="s">
        <v>14</v>
      </c>
      <c r="C452">
        <v>1849</v>
      </c>
      <c r="D452">
        <v>2218800</v>
      </c>
      <c r="E452">
        <v>1479200</v>
      </c>
      <c r="F452">
        <v>739600</v>
      </c>
      <c r="G452" s="1">
        <v>46388</v>
      </c>
    </row>
    <row r="453" spans="1:7" x14ac:dyDescent="0.2">
      <c r="A453" t="s">
        <v>16</v>
      </c>
      <c r="B453" t="s">
        <v>10</v>
      </c>
      <c r="C453">
        <v>740</v>
      </c>
      <c r="D453">
        <v>2590000</v>
      </c>
      <c r="E453">
        <v>1924000</v>
      </c>
      <c r="F453">
        <v>666000</v>
      </c>
      <c r="G453" s="1">
        <v>46091</v>
      </c>
    </row>
    <row r="454" spans="1:7" x14ac:dyDescent="0.2">
      <c r="A454" t="s">
        <v>20</v>
      </c>
      <c r="B454" t="s">
        <v>23</v>
      </c>
      <c r="C454">
        <v>543</v>
      </c>
      <c r="D454">
        <v>2715000</v>
      </c>
      <c r="E454">
        <v>2280600</v>
      </c>
      <c r="F454">
        <v>434400</v>
      </c>
      <c r="G454" s="1">
        <v>46402</v>
      </c>
    </row>
    <row r="455" spans="1:7" x14ac:dyDescent="0.2">
      <c r="A455" t="s">
        <v>9</v>
      </c>
      <c r="B455" t="s">
        <v>8</v>
      </c>
      <c r="C455">
        <v>539</v>
      </c>
      <c r="D455">
        <v>1617000</v>
      </c>
      <c r="E455">
        <v>970200</v>
      </c>
      <c r="F455">
        <v>646800</v>
      </c>
      <c r="G455" s="1">
        <v>46153</v>
      </c>
    </row>
    <row r="456" spans="1:7" x14ac:dyDescent="0.2">
      <c r="A456" t="s">
        <v>16</v>
      </c>
      <c r="B456" t="s">
        <v>10</v>
      </c>
      <c r="C456">
        <v>2818</v>
      </c>
      <c r="D456">
        <v>9863000</v>
      </c>
      <c r="E456">
        <v>7326800</v>
      </c>
      <c r="F456">
        <v>2536200</v>
      </c>
      <c r="G456" s="1">
        <v>46653</v>
      </c>
    </row>
    <row r="457" spans="1:7" x14ac:dyDescent="0.2">
      <c r="A457" t="s">
        <v>21</v>
      </c>
      <c r="B457" t="s">
        <v>17</v>
      </c>
      <c r="C457">
        <v>2606</v>
      </c>
      <c r="D457">
        <v>39090000</v>
      </c>
      <c r="E457">
        <v>28666000</v>
      </c>
      <c r="F457">
        <v>10424000</v>
      </c>
      <c r="G457" s="1">
        <v>46290</v>
      </c>
    </row>
    <row r="458" spans="1:7" x14ac:dyDescent="0.2">
      <c r="A458" t="s">
        <v>16</v>
      </c>
      <c r="B458" t="s">
        <v>10</v>
      </c>
      <c r="C458">
        <v>439</v>
      </c>
      <c r="D458">
        <v>1536500</v>
      </c>
      <c r="E458">
        <v>1141400</v>
      </c>
      <c r="F458">
        <v>395100</v>
      </c>
      <c r="G458" s="1">
        <v>46145</v>
      </c>
    </row>
    <row r="459" spans="1:7" x14ac:dyDescent="0.2">
      <c r="A459" t="s">
        <v>20</v>
      </c>
      <c r="B459" t="s">
        <v>10</v>
      </c>
      <c r="C459">
        <v>344</v>
      </c>
      <c r="D459">
        <v>1204000</v>
      </c>
      <c r="E459">
        <v>894400</v>
      </c>
      <c r="F459">
        <v>309600</v>
      </c>
      <c r="G459" s="1">
        <v>46372</v>
      </c>
    </row>
    <row r="460" spans="1:7" x14ac:dyDescent="0.2">
      <c r="A460" t="s">
        <v>11</v>
      </c>
      <c r="B460" t="s">
        <v>23</v>
      </c>
      <c r="C460">
        <v>1442</v>
      </c>
      <c r="D460">
        <v>7210000</v>
      </c>
      <c r="E460">
        <v>6056400</v>
      </c>
      <c r="F460">
        <v>1153600</v>
      </c>
      <c r="G460" s="1">
        <v>46635</v>
      </c>
    </row>
    <row r="461" spans="1:7" x14ac:dyDescent="0.2">
      <c r="A461" t="s">
        <v>18</v>
      </c>
      <c r="B461" t="s">
        <v>12</v>
      </c>
      <c r="C461">
        <v>2893</v>
      </c>
      <c r="D461">
        <v>3471600</v>
      </c>
      <c r="E461">
        <v>2459050</v>
      </c>
      <c r="F461">
        <v>1012550</v>
      </c>
      <c r="G461" s="1">
        <v>46574</v>
      </c>
    </row>
    <row r="462" spans="1:7" x14ac:dyDescent="0.2">
      <c r="A462" t="s">
        <v>22</v>
      </c>
      <c r="B462" t="s">
        <v>23</v>
      </c>
      <c r="C462">
        <v>2962</v>
      </c>
      <c r="D462">
        <v>14810000</v>
      </c>
      <c r="E462">
        <v>12440400</v>
      </c>
      <c r="F462">
        <v>2369600</v>
      </c>
      <c r="G462" s="1">
        <v>46238</v>
      </c>
    </row>
    <row r="463" spans="1:7" x14ac:dyDescent="0.2">
      <c r="A463" t="s">
        <v>11</v>
      </c>
      <c r="B463" t="s">
        <v>17</v>
      </c>
      <c r="C463">
        <v>1767</v>
      </c>
      <c r="D463">
        <v>26505000</v>
      </c>
      <c r="E463">
        <v>19437000</v>
      </c>
      <c r="F463">
        <v>7068000</v>
      </c>
      <c r="G463" s="1">
        <v>46359</v>
      </c>
    </row>
    <row r="464" spans="1:7" x14ac:dyDescent="0.2">
      <c r="A464" t="s">
        <v>15</v>
      </c>
      <c r="B464" t="s">
        <v>12</v>
      </c>
      <c r="C464">
        <v>2646</v>
      </c>
      <c r="D464">
        <v>3175200</v>
      </c>
      <c r="E464">
        <v>2249100</v>
      </c>
      <c r="F464">
        <v>926100</v>
      </c>
      <c r="G464" s="1">
        <v>46386</v>
      </c>
    </row>
    <row r="465" spans="1:7" x14ac:dyDescent="0.2">
      <c r="A465" t="s">
        <v>16</v>
      </c>
      <c r="B465" t="s">
        <v>19</v>
      </c>
      <c r="C465">
        <v>698</v>
      </c>
      <c r="D465">
        <v>31410000</v>
      </c>
      <c r="E465">
        <v>26524000</v>
      </c>
      <c r="F465">
        <v>4886000</v>
      </c>
      <c r="G465" s="1">
        <v>46592</v>
      </c>
    </row>
    <row r="466" spans="1:7" x14ac:dyDescent="0.2">
      <c r="A466" t="s">
        <v>13</v>
      </c>
      <c r="B466" t="s">
        <v>19</v>
      </c>
      <c r="C466">
        <v>1923</v>
      </c>
      <c r="D466">
        <v>86535000</v>
      </c>
      <c r="E466">
        <v>73074000</v>
      </c>
      <c r="F466">
        <v>13461000</v>
      </c>
      <c r="G466" s="1">
        <v>46091</v>
      </c>
    </row>
    <row r="467" spans="1:7" x14ac:dyDescent="0.2">
      <c r="A467" t="s">
        <v>7</v>
      </c>
      <c r="B467" t="s">
        <v>17</v>
      </c>
      <c r="C467">
        <v>617</v>
      </c>
      <c r="D467">
        <v>9255000</v>
      </c>
      <c r="E467">
        <v>6787000</v>
      </c>
      <c r="F467">
        <v>2468000</v>
      </c>
      <c r="G467" s="1">
        <v>46072</v>
      </c>
    </row>
    <row r="468" spans="1:7" x14ac:dyDescent="0.2">
      <c r="A468" t="s">
        <v>13</v>
      </c>
      <c r="B468" t="s">
        <v>23</v>
      </c>
      <c r="C468">
        <v>2950</v>
      </c>
      <c r="D468">
        <v>14750000</v>
      </c>
      <c r="E468">
        <v>12390000</v>
      </c>
      <c r="F468">
        <v>2360000</v>
      </c>
      <c r="G468" s="1">
        <v>46380</v>
      </c>
    </row>
    <row r="469" spans="1:7" x14ac:dyDescent="0.2">
      <c r="A469" t="s">
        <v>11</v>
      </c>
      <c r="B469" t="s">
        <v>14</v>
      </c>
      <c r="C469">
        <v>2867</v>
      </c>
      <c r="D469">
        <v>3440400</v>
      </c>
      <c r="E469">
        <v>2293600</v>
      </c>
      <c r="F469">
        <v>1146800</v>
      </c>
      <c r="G469" s="1">
        <v>46750</v>
      </c>
    </row>
    <row r="470" spans="1:7" x14ac:dyDescent="0.2">
      <c r="A470" t="s">
        <v>13</v>
      </c>
      <c r="B470" t="s">
        <v>17</v>
      </c>
      <c r="C470">
        <v>494</v>
      </c>
      <c r="D470">
        <v>7410000</v>
      </c>
      <c r="E470">
        <v>5434000</v>
      </c>
      <c r="F470">
        <v>1976000</v>
      </c>
      <c r="G470" s="1">
        <v>46586</v>
      </c>
    </row>
    <row r="471" spans="1:7" x14ac:dyDescent="0.2">
      <c r="A471" t="s">
        <v>21</v>
      </c>
      <c r="B471" t="s">
        <v>8</v>
      </c>
      <c r="C471">
        <v>412</v>
      </c>
      <c r="D471">
        <v>1236000</v>
      </c>
      <c r="E471">
        <v>741600</v>
      </c>
      <c r="F471">
        <v>494400</v>
      </c>
      <c r="G471" s="1">
        <v>46507</v>
      </c>
    </row>
    <row r="472" spans="1:7" x14ac:dyDescent="0.2">
      <c r="A472" t="s">
        <v>13</v>
      </c>
      <c r="B472" t="s">
        <v>12</v>
      </c>
      <c r="C472">
        <v>2220</v>
      </c>
      <c r="D472">
        <v>2664000</v>
      </c>
      <c r="E472">
        <v>1887000</v>
      </c>
      <c r="F472">
        <v>777000</v>
      </c>
      <c r="G472" s="1">
        <v>46106</v>
      </c>
    </row>
    <row r="473" spans="1:7" x14ac:dyDescent="0.2">
      <c r="A473" t="s">
        <v>9</v>
      </c>
      <c r="B473" t="s">
        <v>12</v>
      </c>
      <c r="C473">
        <v>1261</v>
      </c>
      <c r="D473">
        <v>1513200</v>
      </c>
      <c r="E473">
        <v>1071850</v>
      </c>
      <c r="F473">
        <v>441350</v>
      </c>
      <c r="G473" s="1">
        <v>46660</v>
      </c>
    </row>
    <row r="474" spans="1:7" x14ac:dyDescent="0.2">
      <c r="A474" t="s">
        <v>18</v>
      </c>
      <c r="B474" t="s">
        <v>10</v>
      </c>
      <c r="C474">
        <v>791</v>
      </c>
      <c r="D474">
        <v>2768500</v>
      </c>
      <c r="E474">
        <v>2056600</v>
      </c>
      <c r="F474">
        <v>711900</v>
      </c>
      <c r="G474" s="1">
        <v>46576</v>
      </c>
    </row>
    <row r="475" spans="1:7" x14ac:dyDescent="0.2">
      <c r="A475" t="s">
        <v>16</v>
      </c>
      <c r="B475" t="s">
        <v>19</v>
      </c>
      <c r="C475">
        <v>2091</v>
      </c>
      <c r="D475">
        <v>94095000</v>
      </c>
      <c r="E475">
        <v>79458000</v>
      </c>
      <c r="F475">
        <v>14637000</v>
      </c>
      <c r="G475" s="1">
        <v>46318</v>
      </c>
    </row>
    <row r="476" spans="1:7" x14ac:dyDescent="0.2">
      <c r="A476" t="s">
        <v>13</v>
      </c>
      <c r="B476" t="s">
        <v>12</v>
      </c>
      <c r="C476">
        <v>729</v>
      </c>
      <c r="D476">
        <v>874800</v>
      </c>
      <c r="E476">
        <v>619650</v>
      </c>
      <c r="F476">
        <v>255150</v>
      </c>
      <c r="G476" s="1">
        <v>46258</v>
      </c>
    </row>
    <row r="477" spans="1:7" x14ac:dyDescent="0.2">
      <c r="A477" t="s">
        <v>20</v>
      </c>
      <c r="B477" t="s">
        <v>17</v>
      </c>
      <c r="C477">
        <v>2517</v>
      </c>
      <c r="D477">
        <v>37755000</v>
      </c>
      <c r="E477">
        <v>27687000</v>
      </c>
      <c r="F477">
        <v>10068000</v>
      </c>
      <c r="G477" s="1">
        <v>46078</v>
      </c>
    </row>
    <row r="478" spans="1:7" x14ac:dyDescent="0.2">
      <c r="A478" t="s">
        <v>18</v>
      </c>
      <c r="B478" t="s">
        <v>12</v>
      </c>
      <c r="C478">
        <v>1692</v>
      </c>
      <c r="D478">
        <v>2030400</v>
      </c>
      <c r="E478">
        <v>1438200</v>
      </c>
      <c r="F478">
        <v>592200</v>
      </c>
      <c r="G478" s="1">
        <v>46382</v>
      </c>
    </row>
    <row r="479" spans="1:7" x14ac:dyDescent="0.2">
      <c r="A479" t="s">
        <v>18</v>
      </c>
      <c r="B479" t="s">
        <v>17</v>
      </c>
      <c r="C479">
        <v>1622</v>
      </c>
      <c r="D479">
        <v>24330000</v>
      </c>
      <c r="E479">
        <v>17842000</v>
      </c>
      <c r="F479">
        <v>6488000</v>
      </c>
      <c r="G479" s="1">
        <v>46132</v>
      </c>
    </row>
    <row r="480" spans="1:7" x14ac:dyDescent="0.2">
      <c r="A480" t="s">
        <v>13</v>
      </c>
      <c r="B480" t="s">
        <v>14</v>
      </c>
      <c r="C480">
        <v>1408</v>
      </c>
      <c r="D480">
        <v>1689600</v>
      </c>
      <c r="E480">
        <v>1126400</v>
      </c>
      <c r="F480">
        <v>563200</v>
      </c>
      <c r="G480" s="1">
        <v>46333</v>
      </c>
    </row>
    <row r="481" spans="1:7" x14ac:dyDescent="0.2">
      <c r="A481" t="s">
        <v>18</v>
      </c>
      <c r="B481" t="s">
        <v>10</v>
      </c>
      <c r="C481">
        <v>2189</v>
      </c>
      <c r="D481">
        <v>7661500</v>
      </c>
      <c r="E481">
        <v>5691400</v>
      </c>
      <c r="F481">
        <v>1970100</v>
      </c>
      <c r="G481" s="1">
        <v>46085</v>
      </c>
    </row>
    <row r="482" spans="1:7" x14ac:dyDescent="0.2">
      <c r="A482" t="s">
        <v>7</v>
      </c>
      <c r="B482" t="s">
        <v>19</v>
      </c>
      <c r="C482">
        <v>112</v>
      </c>
      <c r="D482">
        <v>5040000</v>
      </c>
      <c r="E482">
        <v>4256000</v>
      </c>
      <c r="F482">
        <v>784000</v>
      </c>
      <c r="G482" s="1">
        <v>46590</v>
      </c>
    </row>
    <row r="483" spans="1:7" x14ac:dyDescent="0.2">
      <c r="A483" t="s">
        <v>13</v>
      </c>
      <c r="B483" t="s">
        <v>12</v>
      </c>
      <c r="C483">
        <v>2609</v>
      </c>
      <c r="D483">
        <v>3130800</v>
      </c>
      <c r="E483">
        <v>2217650</v>
      </c>
      <c r="F483">
        <v>913150</v>
      </c>
      <c r="G483" s="1">
        <v>46025</v>
      </c>
    </row>
    <row r="484" spans="1:7" x14ac:dyDescent="0.2">
      <c r="A484" t="s">
        <v>21</v>
      </c>
      <c r="B484" t="s">
        <v>17</v>
      </c>
      <c r="C484">
        <v>1212</v>
      </c>
      <c r="D484">
        <v>18180000</v>
      </c>
      <c r="E484">
        <v>13332000</v>
      </c>
      <c r="F484">
        <v>4848000</v>
      </c>
      <c r="G484" s="1">
        <v>46731</v>
      </c>
    </row>
    <row r="485" spans="1:7" x14ac:dyDescent="0.2">
      <c r="A485" t="s">
        <v>11</v>
      </c>
      <c r="B485" t="s">
        <v>23</v>
      </c>
      <c r="C485">
        <v>1278</v>
      </c>
      <c r="D485">
        <v>6390000</v>
      </c>
      <c r="E485">
        <v>5367600</v>
      </c>
      <c r="F485">
        <v>1022400</v>
      </c>
      <c r="G485" s="1">
        <v>46236</v>
      </c>
    </row>
    <row r="486" spans="1:7" x14ac:dyDescent="0.2">
      <c r="A486" t="s">
        <v>9</v>
      </c>
      <c r="B486" t="s">
        <v>19</v>
      </c>
      <c r="C486">
        <v>2869</v>
      </c>
      <c r="D486">
        <v>129105000</v>
      </c>
      <c r="E486">
        <v>109022000</v>
      </c>
      <c r="F486">
        <v>20083000</v>
      </c>
      <c r="G486" s="1">
        <v>46562</v>
      </c>
    </row>
    <row r="487" spans="1:7" x14ac:dyDescent="0.2">
      <c r="A487" t="s">
        <v>22</v>
      </c>
      <c r="B487" t="s">
        <v>14</v>
      </c>
      <c r="C487">
        <v>305</v>
      </c>
      <c r="D487">
        <v>366000</v>
      </c>
      <c r="E487">
        <v>244000</v>
      </c>
      <c r="F487">
        <v>122000</v>
      </c>
      <c r="G487" s="1">
        <v>46071</v>
      </c>
    </row>
    <row r="488" spans="1:7" x14ac:dyDescent="0.2">
      <c r="A488" t="s">
        <v>15</v>
      </c>
      <c r="B488" t="s">
        <v>17</v>
      </c>
      <c r="C488">
        <v>184</v>
      </c>
      <c r="D488">
        <v>2760000</v>
      </c>
      <c r="E488">
        <v>2024000</v>
      </c>
      <c r="F488">
        <v>736000</v>
      </c>
      <c r="G488" s="1">
        <v>46442</v>
      </c>
    </row>
    <row r="489" spans="1:7" x14ac:dyDescent="0.2">
      <c r="A489" t="s">
        <v>18</v>
      </c>
      <c r="B489" t="s">
        <v>8</v>
      </c>
      <c r="C489">
        <v>924</v>
      </c>
      <c r="D489">
        <v>2772000</v>
      </c>
      <c r="E489">
        <v>1663200</v>
      </c>
      <c r="F489">
        <v>1108800</v>
      </c>
      <c r="G489" s="1">
        <v>46659</v>
      </c>
    </row>
    <row r="490" spans="1:7" x14ac:dyDescent="0.2">
      <c r="A490" t="s">
        <v>21</v>
      </c>
      <c r="B490" t="s">
        <v>8</v>
      </c>
      <c r="C490">
        <v>871</v>
      </c>
      <c r="D490">
        <v>2613000</v>
      </c>
      <c r="E490">
        <v>1567800</v>
      </c>
      <c r="F490">
        <v>1045200</v>
      </c>
      <c r="G490" s="1">
        <v>46035</v>
      </c>
    </row>
    <row r="491" spans="1:7" x14ac:dyDescent="0.2">
      <c r="A491" t="s">
        <v>16</v>
      </c>
      <c r="B491" t="s">
        <v>10</v>
      </c>
      <c r="C491">
        <v>2185</v>
      </c>
      <c r="D491">
        <v>7647500</v>
      </c>
      <c r="E491">
        <v>5681000</v>
      </c>
      <c r="F491">
        <v>1966500</v>
      </c>
      <c r="G491" s="1">
        <v>46144</v>
      </c>
    </row>
    <row r="492" spans="1:7" x14ac:dyDescent="0.2">
      <c r="A492" t="s">
        <v>16</v>
      </c>
      <c r="B492" t="s">
        <v>10</v>
      </c>
      <c r="C492">
        <v>872</v>
      </c>
      <c r="D492">
        <v>3052000</v>
      </c>
      <c r="E492">
        <v>2267200</v>
      </c>
      <c r="F492">
        <v>784800</v>
      </c>
      <c r="G492" s="1">
        <v>46330</v>
      </c>
    </row>
    <row r="493" spans="1:7" x14ac:dyDescent="0.2">
      <c r="A493" t="s">
        <v>15</v>
      </c>
      <c r="B493" t="s">
        <v>14</v>
      </c>
      <c r="C493">
        <v>1023</v>
      </c>
      <c r="D493">
        <v>1227600</v>
      </c>
      <c r="E493">
        <v>818400</v>
      </c>
      <c r="F493">
        <v>409200</v>
      </c>
      <c r="G493" s="1">
        <v>46108</v>
      </c>
    </row>
    <row r="494" spans="1:7" x14ac:dyDescent="0.2">
      <c r="A494" t="s">
        <v>9</v>
      </c>
      <c r="B494" t="s">
        <v>14</v>
      </c>
      <c r="C494">
        <v>1827</v>
      </c>
      <c r="D494">
        <v>2192400</v>
      </c>
      <c r="E494">
        <v>1461600</v>
      </c>
      <c r="F494">
        <v>730800</v>
      </c>
      <c r="G494" s="1">
        <v>46538</v>
      </c>
    </row>
    <row r="495" spans="1:7" x14ac:dyDescent="0.2">
      <c r="A495" t="s">
        <v>18</v>
      </c>
      <c r="B495" t="s">
        <v>10</v>
      </c>
      <c r="C495">
        <v>170</v>
      </c>
      <c r="D495">
        <v>595000</v>
      </c>
      <c r="E495">
        <v>442000</v>
      </c>
      <c r="F495">
        <v>153000</v>
      </c>
      <c r="G495" s="1">
        <v>46334</v>
      </c>
    </row>
    <row r="496" spans="1:7" x14ac:dyDescent="0.2">
      <c r="A496" t="s">
        <v>7</v>
      </c>
      <c r="B496" t="s">
        <v>12</v>
      </c>
      <c r="C496">
        <v>1687</v>
      </c>
      <c r="D496">
        <v>2024400</v>
      </c>
      <c r="E496">
        <v>1433950</v>
      </c>
      <c r="F496">
        <v>590450</v>
      </c>
      <c r="G496" s="1">
        <v>46124</v>
      </c>
    </row>
    <row r="497" spans="1:7" x14ac:dyDescent="0.2">
      <c r="A497" t="s">
        <v>15</v>
      </c>
      <c r="B497" t="s">
        <v>12</v>
      </c>
      <c r="C497">
        <v>1414</v>
      </c>
      <c r="D497">
        <v>1696800</v>
      </c>
      <c r="E497">
        <v>1201900</v>
      </c>
      <c r="F497">
        <v>494900</v>
      </c>
      <c r="G497" s="1">
        <v>46188</v>
      </c>
    </row>
    <row r="498" spans="1:7" x14ac:dyDescent="0.2">
      <c r="A498" t="s">
        <v>9</v>
      </c>
      <c r="B498" t="s">
        <v>17</v>
      </c>
      <c r="C498">
        <v>1057</v>
      </c>
      <c r="D498">
        <v>15855000</v>
      </c>
      <c r="E498">
        <v>11627000</v>
      </c>
      <c r="F498">
        <v>4228000</v>
      </c>
      <c r="G498" s="1">
        <v>46405</v>
      </c>
    </row>
    <row r="499" spans="1:7" x14ac:dyDescent="0.2">
      <c r="A499" t="s">
        <v>18</v>
      </c>
      <c r="B499" t="s">
        <v>23</v>
      </c>
      <c r="C499">
        <v>974</v>
      </c>
      <c r="D499">
        <v>4870000</v>
      </c>
      <c r="E499">
        <v>4090800</v>
      </c>
      <c r="F499">
        <v>779200</v>
      </c>
      <c r="G499" s="1">
        <v>46692</v>
      </c>
    </row>
    <row r="500" spans="1:7" x14ac:dyDescent="0.2">
      <c r="A500" t="s">
        <v>21</v>
      </c>
      <c r="B500" t="s">
        <v>17</v>
      </c>
      <c r="C500">
        <v>694</v>
      </c>
      <c r="D500">
        <v>10410000</v>
      </c>
      <c r="E500">
        <v>7634000</v>
      </c>
      <c r="F500">
        <v>2776000</v>
      </c>
      <c r="G500" s="1">
        <v>46493</v>
      </c>
    </row>
    <row r="501" spans="1:7" x14ac:dyDescent="0.2">
      <c r="A501" t="s">
        <v>11</v>
      </c>
      <c r="B501" t="s">
        <v>23</v>
      </c>
      <c r="C501">
        <v>2082</v>
      </c>
      <c r="D501">
        <v>10410000</v>
      </c>
      <c r="E501">
        <v>8744400</v>
      </c>
      <c r="F501">
        <v>1665600</v>
      </c>
      <c r="G501" s="1">
        <v>46487</v>
      </c>
    </row>
    <row r="502" spans="1:7" x14ac:dyDescent="0.2">
      <c r="A502" t="s">
        <v>7</v>
      </c>
      <c r="B502" t="s">
        <v>14</v>
      </c>
      <c r="C502">
        <v>2811</v>
      </c>
      <c r="D502">
        <v>3373200</v>
      </c>
      <c r="E502">
        <v>2248800</v>
      </c>
      <c r="F502">
        <v>1124400</v>
      </c>
      <c r="G502" s="1">
        <v>46053</v>
      </c>
    </row>
    <row r="503" spans="1:7" x14ac:dyDescent="0.2">
      <c r="A503" t="s">
        <v>22</v>
      </c>
      <c r="B503" t="s">
        <v>19</v>
      </c>
      <c r="C503">
        <v>2957</v>
      </c>
      <c r="D503">
        <v>133065000</v>
      </c>
      <c r="E503">
        <v>112366000</v>
      </c>
      <c r="F503">
        <v>20699000</v>
      </c>
      <c r="G503" s="1">
        <v>46661</v>
      </c>
    </row>
    <row r="504" spans="1:7" x14ac:dyDescent="0.2">
      <c r="A504" t="s">
        <v>16</v>
      </c>
      <c r="B504" t="s">
        <v>17</v>
      </c>
      <c r="C504">
        <v>2118</v>
      </c>
      <c r="D504">
        <v>31770000</v>
      </c>
      <c r="E504">
        <v>23298000</v>
      </c>
      <c r="F504">
        <v>8472000</v>
      </c>
      <c r="G504" s="1">
        <v>46327</v>
      </c>
    </row>
    <row r="505" spans="1:7" x14ac:dyDescent="0.2">
      <c r="A505" t="s">
        <v>20</v>
      </c>
      <c r="B505" t="s">
        <v>17</v>
      </c>
      <c r="C505">
        <v>291</v>
      </c>
      <c r="D505">
        <v>4365000</v>
      </c>
      <c r="E505">
        <v>3201000</v>
      </c>
      <c r="F505">
        <v>1164000</v>
      </c>
      <c r="G505" s="1">
        <v>46324</v>
      </c>
    </row>
    <row r="506" spans="1:7" x14ac:dyDescent="0.2">
      <c r="A506" t="s">
        <v>21</v>
      </c>
      <c r="B506" t="s">
        <v>23</v>
      </c>
      <c r="C506">
        <v>2552</v>
      </c>
      <c r="D506">
        <v>12760000</v>
      </c>
      <c r="E506">
        <v>10718400</v>
      </c>
      <c r="F506">
        <v>2041600</v>
      </c>
      <c r="G506" s="1">
        <v>46177</v>
      </c>
    </row>
    <row r="507" spans="1:7" x14ac:dyDescent="0.2">
      <c r="A507" t="s">
        <v>16</v>
      </c>
      <c r="B507" t="s">
        <v>14</v>
      </c>
      <c r="C507">
        <v>2718</v>
      </c>
      <c r="D507">
        <v>3261600</v>
      </c>
      <c r="E507">
        <v>2174400</v>
      </c>
      <c r="F507">
        <v>1087200</v>
      </c>
      <c r="G507" s="1">
        <v>46272</v>
      </c>
    </row>
    <row r="508" spans="1:7" x14ac:dyDescent="0.2">
      <c r="A508" t="s">
        <v>13</v>
      </c>
      <c r="B508" t="s">
        <v>14</v>
      </c>
      <c r="C508">
        <v>2400</v>
      </c>
      <c r="D508">
        <v>2880000</v>
      </c>
      <c r="E508">
        <v>1920000</v>
      </c>
      <c r="F508">
        <v>960000</v>
      </c>
      <c r="G508" s="1">
        <v>46475</v>
      </c>
    </row>
    <row r="509" spans="1:7" x14ac:dyDescent="0.2">
      <c r="A509" t="s">
        <v>20</v>
      </c>
      <c r="B509" t="s">
        <v>8</v>
      </c>
      <c r="C509">
        <v>1669</v>
      </c>
      <c r="D509">
        <v>5007000</v>
      </c>
      <c r="E509">
        <v>3004200</v>
      </c>
      <c r="F509">
        <v>2002800</v>
      </c>
      <c r="G509" s="1">
        <v>46333</v>
      </c>
    </row>
    <row r="510" spans="1:7" x14ac:dyDescent="0.2">
      <c r="A510" t="s">
        <v>16</v>
      </c>
      <c r="B510" t="s">
        <v>23</v>
      </c>
      <c r="C510">
        <v>852</v>
      </c>
      <c r="D510">
        <v>4260000</v>
      </c>
      <c r="E510">
        <v>3578400</v>
      </c>
      <c r="F510">
        <v>681600</v>
      </c>
      <c r="G510" s="1">
        <v>46392</v>
      </c>
    </row>
    <row r="511" spans="1:7" x14ac:dyDescent="0.2">
      <c r="A511" t="s">
        <v>9</v>
      </c>
      <c r="B511" t="s">
        <v>14</v>
      </c>
      <c r="C511">
        <v>1013</v>
      </c>
      <c r="D511">
        <v>1215600</v>
      </c>
      <c r="E511">
        <v>810400</v>
      </c>
      <c r="F511">
        <v>405200</v>
      </c>
      <c r="G511" s="1">
        <v>46288</v>
      </c>
    </row>
    <row r="512" spans="1:7" x14ac:dyDescent="0.2">
      <c r="A512" t="s">
        <v>7</v>
      </c>
      <c r="B512" t="s">
        <v>10</v>
      </c>
      <c r="C512">
        <v>118</v>
      </c>
      <c r="D512">
        <v>413000</v>
      </c>
      <c r="E512">
        <v>306800</v>
      </c>
      <c r="F512">
        <v>106200</v>
      </c>
      <c r="G512" s="1">
        <v>46446</v>
      </c>
    </row>
    <row r="513" spans="1:7" x14ac:dyDescent="0.2">
      <c r="A513" t="s">
        <v>16</v>
      </c>
      <c r="B513" t="s">
        <v>12</v>
      </c>
      <c r="C513">
        <v>1202</v>
      </c>
      <c r="D513">
        <v>1442400</v>
      </c>
      <c r="E513">
        <v>1021700</v>
      </c>
      <c r="F513">
        <v>420700</v>
      </c>
      <c r="G513" s="1">
        <v>46239</v>
      </c>
    </row>
    <row r="514" spans="1:7" x14ac:dyDescent="0.2">
      <c r="A514" t="s">
        <v>22</v>
      </c>
      <c r="B514" t="s">
        <v>8</v>
      </c>
      <c r="C514">
        <v>245</v>
      </c>
      <c r="D514">
        <v>735000</v>
      </c>
      <c r="E514">
        <v>441000</v>
      </c>
      <c r="F514">
        <v>294000</v>
      </c>
      <c r="G514" s="1">
        <v>46260</v>
      </c>
    </row>
    <row r="515" spans="1:7" x14ac:dyDescent="0.2">
      <c r="A515" t="s">
        <v>11</v>
      </c>
      <c r="B515" t="s">
        <v>10</v>
      </c>
      <c r="C515">
        <v>2237</v>
      </c>
      <c r="D515">
        <v>7829500</v>
      </c>
      <c r="E515">
        <v>5816200</v>
      </c>
      <c r="F515">
        <v>2013300</v>
      </c>
      <c r="G515" s="1">
        <v>46377</v>
      </c>
    </row>
    <row r="516" spans="1:7" x14ac:dyDescent="0.2">
      <c r="A516" t="s">
        <v>9</v>
      </c>
      <c r="B516" t="s">
        <v>19</v>
      </c>
      <c r="C516">
        <v>2380</v>
      </c>
      <c r="D516">
        <v>107100000</v>
      </c>
      <c r="E516">
        <v>90440000</v>
      </c>
      <c r="F516">
        <v>16660000</v>
      </c>
      <c r="G516" s="1">
        <v>46134</v>
      </c>
    </row>
    <row r="517" spans="1:7" x14ac:dyDescent="0.2">
      <c r="A517" t="s">
        <v>21</v>
      </c>
      <c r="B517" t="s">
        <v>17</v>
      </c>
      <c r="C517">
        <v>2409</v>
      </c>
      <c r="D517">
        <v>36135000</v>
      </c>
      <c r="E517">
        <v>26499000</v>
      </c>
      <c r="F517">
        <v>9636000</v>
      </c>
      <c r="G517" s="1">
        <v>46468</v>
      </c>
    </row>
    <row r="518" spans="1:7" x14ac:dyDescent="0.2">
      <c r="A518" t="s">
        <v>21</v>
      </c>
      <c r="B518" t="s">
        <v>8</v>
      </c>
      <c r="C518">
        <v>795</v>
      </c>
      <c r="D518">
        <v>2385000</v>
      </c>
      <c r="E518">
        <v>1431000</v>
      </c>
      <c r="F518">
        <v>954000</v>
      </c>
      <c r="G518" s="1">
        <v>46277</v>
      </c>
    </row>
    <row r="519" spans="1:7" x14ac:dyDescent="0.2">
      <c r="A519" t="s">
        <v>21</v>
      </c>
      <c r="B519" t="s">
        <v>19</v>
      </c>
      <c r="C519">
        <v>1738</v>
      </c>
      <c r="D519">
        <v>78210000</v>
      </c>
      <c r="E519">
        <v>66044000</v>
      </c>
      <c r="F519">
        <v>12166000</v>
      </c>
      <c r="G519" s="1">
        <v>46167</v>
      </c>
    </row>
    <row r="520" spans="1:7" x14ac:dyDescent="0.2">
      <c r="A520" t="s">
        <v>21</v>
      </c>
      <c r="B520" t="s">
        <v>17</v>
      </c>
      <c r="C520">
        <v>326</v>
      </c>
      <c r="D520">
        <v>4890000</v>
      </c>
      <c r="E520">
        <v>3586000</v>
      </c>
      <c r="F520">
        <v>1304000</v>
      </c>
      <c r="G520" s="1">
        <v>46176</v>
      </c>
    </row>
    <row r="521" spans="1:7" x14ac:dyDescent="0.2">
      <c r="A521" t="s">
        <v>11</v>
      </c>
      <c r="B521" t="s">
        <v>12</v>
      </c>
      <c r="C521">
        <v>110</v>
      </c>
      <c r="D521">
        <v>132000</v>
      </c>
      <c r="E521">
        <v>93500</v>
      </c>
      <c r="F521">
        <v>38500</v>
      </c>
      <c r="G521" s="1">
        <v>46121</v>
      </c>
    </row>
    <row r="522" spans="1:7" x14ac:dyDescent="0.2">
      <c r="A522" t="s">
        <v>16</v>
      </c>
      <c r="B522" t="s">
        <v>14</v>
      </c>
      <c r="C522">
        <v>1963</v>
      </c>
      <c r="D522">
        <v>2355600</v>
      </c>
      <c r="E522">
        <v>1570400</v>
      </c>
      <c r="F522">
        <v>785200</v>
      </c>
      <c r="G522" s="1">
        <v>46512</v>
      </c>
    </row>
    <row r="523" spans="1:7" x14ac:dyDescent="0.2">
      <c r="A523" t="s">
        <v>18</v>
      </c>
      <c r="B523" t="s">
        <v>10</v>
      </c>
      <c r="C523">
        <v>2149</v>
      </c>
      <c r="D523">
        <v>7521500</v>
      </c>
      <c r="E523">
        <v>5587400</v>
      </c>
      <c r="F523">
        <v>1934100</v>
      </c>
      <c r="G523" s="1">
        <v>46461</v>
      </c>
    </row>
    <row r="524" spans="1:7" x14ac:dyDescent="0.2">
      <c r="A524" t="s">
        <v>16</v>
      </c>
      <c r="B524" t="s">
        <v>23</v>
      </c>
      <c r="C524">
        <v>2250</v>
      </c>
      <c r="D524">
        <v>11250000</v>
      </c>
      <c r="E524">
        <v>9450000</v>
      </c>
      <c r="F524">
        <v>1800000</v>
      </c>
      <c r="G524" s="1">
        <v>46128</v>
      </c>
    </row>
    <row r="525" spans="1:7" x14ac:dyDescent="0.2">
      <c r="A525" t="s">
        <v>13</v>
      </c>
      <c r="B525" t="s">
        <v>10</v>
      </c>
      <c r="C525">
        <v>1822</v>
      </c>
      <c r="D525">
        <v>6377000</v>
      </c>
      <c r="E525">
        <v>4737200</v>
      </c>
      <c r="F525">
        <v>1639800</v>
      </c>
      <c r="G525" s="1">
        <v>46203</v>
      </c>
    </row>
    <row r="526" spans="1:7" x14ac:dyDescent="0.2">
      <c r="A526" t="s">
        <v>7</v>
      </c>
      <c r="B526" t="s">
        <v>12</v>
      </c>
      <c r="C526">
        <v>1384</v>
      </c>
      <c r="D526">
        <v>1660800</v>
      </c>
      <c r="E526">
        <v>1176400</v>
      </c>
      <c r="F526">
        <v>484400</v>
      </c>
      <c r="G526" s="1">
        <v>46088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75327-497A-4735-9D19-10C7CCAAE17B}">
  <dimension ref="Q8"/>
  <sheetViews>
    <sheetView showGridLines="0" tabSelected="1" topLeftCell="A3" workbookViewId="0">
      <selection activeCell="R7" sqref="R7"/>
    </sheetView>
  </sheetViews>
  <sheetFormatPr defaultRowHeight="14.25" x14ac:dyDescent="0.2"/>
  <sheetData>
    <row r="8" spans="17:17" x14ac:dyDescent="0.2">
      <c r="Q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Props1.xml><?xml version="1.0" encoding="utf-8"?>
<ds:datastoreItem xmlns:ds="http://schemas.openxmlformats.org/officeDocument/2006/customXml" ds:itemID="{EBC89EDC-B536-4A3C-95DC-5F6DA1F4EF77}">
  <ds:schemaRefs/>
</ds:datastoreItem>
</file>

<file path=customXml/itemProps2.xml><?xml version="1.0" encoding="utf-8"?>
<ds:datastoreItem xmlns:ds="http://schemas.openxmlformats.org/officeDocument/2006/customXml" ds:itemID="{D340BD8C-2043-4BFB-A5BB-65C807E4C7ED}">
  <ds:schemaRefs/>
</ds:datastoreItem>
</file>

<file path=customXml/itemProps3.xml><?xml version="1.0" encoding="utf-8"?>
<ds:datastoreItem xmlns:ds="http://schemas.openxmlformats.org/officeDocument/2006/customXml" ds:itemID="{FA0F2270-DC72-4EB8-966D-F965A0738513}">
  <ds:schemaRefs/>
</ds:datastoreItem>
</file>

<file path=customXml/itemProps4.xml><?xml version="1.0" encoding="utf-8"?>
<ds:datastoreItem xmlns:ds="http://schemas.openxmlformats.org/officeDocument/2006/customXml" ds:itemID="{B2A0A600-A4D3-4110-81DF-0A57524E4888}">
  <ds:schemaRefs/>
</ds:datastoreItem>
</file>

<file path=customXml/itemProps5.xml><?xml version="1.0" encoding="utf-8"?>
<ds:datastoreItem xmlns:ds="http://schemas.openxmlformats.org/officeDocument/2006/customXml" ds:itemID="{778669BE-F2EB-4526-968D-7613D024F495}">
  <ds:schemaRefs/>
</ds:datastoreItem>
</file>

<file path=customXml/itemProps6.xml><?xml version="1.0" encoding="utf-8"?>
<ds:datastoreItem xmlns:ds="http://schemas.openxmlformats.org/officeDocument/2006/customXml" ds:itemID="{7B7CAE0C-D084-4E9F-8640-50F2308B66AD}">
  <ds:schemaRefs/>
</ds:datastoreItem>
</file>

<file path=customXml/itemProps7.xml><?xml version="1.0" encoding="utf-8"?>
<ds:datastoreItem xmlns:ds="http://schemas.openxmlformats.org/officeDocument/2006/customXml" ds:itemID="{E24E9606-CF61-448E-B706-A6FF87197D71}">
  <ds:schemaRefs/>
</ds:datastoreItem>
</file>

<file path=customXml/itemProps8.xml><?xml version="1.0" encoding="utf-8"?>
<ds:datastoreItem xmlns:ds="http://schemas.openxmlformats.org/officeDocument/2006/customXml" ds:itemID="{567AF5D9-0C22-4B2B-87B6-B854A032EF05}">
  <ds:schemaRefs/>
</ds:datastoreItem>
</file>

<file path=customXml/itemProps9.xml><?xml version="1.0" encoding="utf-8"?>
<ds:datastoreItem xmlns:ds="http://schemas.openxmlformats.org/officeDocument/2006/customXml" ds:itemID="{EA439852-D838-42F3-B4F3-54A1480C14EF}">
  <ds:schemaRefs/>
</ds:datastoreItem>
</file>

<file path=customXml/itemProps10.xml><?xml version="1.0" encoding="utf-8"?>
<ds:datastoreItem xmlns:ds="http://schemas.openxmlformats.org/officeDocument/2006/customXml" ds:itemID="{2209D2C7-6B89-42AC-9B61-0852D8DFBCC2}">
  <ds:schemaRefs/>
</ds:datastoreItem>
</file>

<file path=customXml/itemProps11.xml><?xml version="1.0" encoding="utf-8"?>
<ds:datastoreItem xmlns:ds="http://schemas.openxmlformats.org/officeDocument/2006/customXml" ds:itemID="{F0B2EE33-F897-43AA-82F1-CE4C345BBD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Data</vt:lpstr>
      <vt:lpstr>New Data</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ELIZABETH CHUKWU</cp:lastModifiedBy>
  <cp:revision/>
  <dcterms:created xsi:type="dcterms:W3CDTF">2026-01-17T08:53:53Z</dcterms:created>
  <dcterms:modified xsi:type="dcterms:W3CDTF">2026-10-02T14:19:53Z</dcterms:modified>
  <cp:category/>
  <cp:contentStatus/>
</cp:coreProperties>
</file>